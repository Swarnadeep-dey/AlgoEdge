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de Analytics" sheetId="2" state="visible" r:id="rId2"/>
    <sheet xmlns:r="http://schemas.openxmlformats.org/officeDocument/2006/relationships" name="Executive Summary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Benchmark" sheetId="5" state="visible" r:id="rId5"/>
    <sheet xmlns:r="http://schemas.openxmlformats.org/officeDocument/2006/relationships" name="Trade Log" sheetId="6" state="visible" r:id="rId6"/>
  </sheets>
  <definedNames>
    <definedName name="_xlnm._FilterDatabase" localSheetId="5" hidden="1">'Trade Log'!$A$1:$H$25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[$₹-en-IN]#,##0.00"/>
    <numFmt numFmtId="166" formatCode="yyyy-mm-dd h:mm:ss"/>
    <numFmt numFmtId="167" formatCode="+0.00&quot;%&quot;;-0.00&quot;%&quot;;0.00&quot;%&quot;"/>
    <numFmt numFmtId="168" formatCode="0.0%"/>
    <numFmt numFmtId="169" formatCode="0&quot; days&quot;"/>
    <numFmt numFmtId="170" formatCode="0&quot;%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1A19"/>
      <sz val="10"/>
    </font>
    <font>
      <name val="Arial"/>
      <color rgb="001A1A19"/>
      <sz val="10"/>
    </font>
    <font>
      <name val="Arial"/>
      <color rgb="006B6A66"/>
      <sz val="10"/>
    </font>
    <font>
      <name val="Arial"/>
      <color rgb="009C0006"/>
      <sz val="10"/>
    </font>
    <font>
      <name val="Arial"/>
      <color rgb="00006100"/>
      <sz val="10"/>
    </font>
    <font>
      <name val="Arial"/>
      <b val="1"/>
      <color rgb="001F4E78"/>
      <sz val="22"/>
    </font>
    <font>
      <name val="Arial"/>
      <color rgb="006B6A66"/>
      <sz val="9"/>
    </font>
    <font>
      <name val="Arial"/>
      <b val="1"/>
      <color rgb="001A1A19"/>
      <sz val="18"/>
    </font>
    <font>
      <name val="Arial"/>
      <b val="1"/>
      <color rgb="001F4E78"/>
      <sz val="12"/>
    </font>
    <font>
      <name val="Arial"/>
      <i val="1"/>
      <color rgb="006B6A66"/>
      <sz val="9"/>
    </font>
    <font>
      <name val="Arial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3F5F8"/>
        <bgColor rgb="00F3F5F8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10">
    <border>
      <left/>
      <right/>
      <top/>
      <bottom/>
      <diagonal/>
    </border>
    <border>
      <left style="thin">
        <color rgb="00D4D8DE"/>
      </left>
      <right style="thin">
        <color rgb="00D4D8DE"/>
      </right>
      <top style="thin">
        <color rgb="00D4D8DE"/>
      </top>
      <bottom style="thin">
        <color rgb="00D4D8DE"/>
      </bottom>
    </border>
    <border>
      <left style="thin">
        <color rgb="00D4D8DE"/>
      </left>
      <right style="thin">
        <color rgb="00D4D8DE"/>
      </right>
      <top style="thin">
        <color rgb="00D4D8DE"/>
      </top>
    </border>
    <border>
      <left/>
      <right/>
      <top style="thin">
        <color rgb="00D4D8DE"/>
      </top>
      <bottom/>
      <diagonal/>
    </border>
    <border>
      <left/>
      <right style="thin">
        <color rgb="00D4D8DE"/>
      </right>
      <top style="thin">
        <color rgb="00D4D8DE"/>
      </top>
      <bottom/>
      <diagonal/>
    </border>
    <border>
      <left style="thin">
        <color rgb="00D4D8DE"/>
      </left>
      <right style="thin">
        <color rgb="00D4D8DE"/>
      </right>
    </border>
    <border>
      <left/>
      <right style="thin">
        <color rgb="00D4D8DE"/>
      </right>
      <top/>
      <bottom/>
      <diagonal/>
    </border>
    <border>
      <left style="thin">
        <color rgb="00D4D8DE"/>
      </left>
      <right style="thin">
        <color rgb="00D4D8DE"/>
      </right>
      <bottom style="thin">
        <color rgb="00D4D8DE"/>
      </bottom>
    </border>
    <border>
      <left/>
      <right/>
      <top/>
      <bottom style="thin">
        <color rgb="00D4D8DE"/>
      </bottom>
      <diagonal/>
    </border>
    <border>
      <left/>
      <right style="thin">
        <color rgb="00D4D8DE"/>
      </right>
      <top/>
      <bottom style="thin">
        <color rgb="00D4D8DE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3" borderId="0" applyAlignment="1" pivotButton="0" quotePrefix="0" xfId="0">
      <alignment horizontal="left" vertical="center" indent="1"/>
    </xf>
    <xf numFmtId="0" fontId="8" fillId="3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8" fillId="3" borderId="7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1" fontId="9" fillId="3" borderId="5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pivotButton="0" quotePrefix="0" xfId="0"/>
    <xf numFmtId="168" fontId="3" fillId="3" borderId="1" applyAlignment="1" pivotButton="0" quotePrefix="0" xfId="0">
      <alignment horizontal="center"/>
    </xf>
    <xf numFmtId="167" fontId="3" fillId="3" borderId="1" applyAlignment="1" pivotButton="0" quotePrefix="0" xfId="0">
      <alignment horizontal="center"/>
    </xf>
    <xf numFmtId="169" fontId="3" fillId="3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2" fillId="0" borderId="0" pivotButton="0" quotePrefix="0" xfId="0"/>
    <xf numFmtId="0" fontId="12" fillId="0" borderId="0" applyAlignment="1" pivotButton="0" quotePrefix="0" xfId="0">
      <alignment horizontal="center"/>
    </xf>
    <xf numFmtId="170" fontId="3" fillId="0" borderId="1" applyAlignment="1" pivotButton="0" quotePrefix="0" xfId="0">
      <alignment horizontal="center"/>
    </xf>
    <xf numFmtId="165" fontId="3" fillId="0" borderId="1" pivotButton="0" quotePrefix="0" xfId="0"/>
    <xf numFmtId="0" fontId="4" fillId="0" borderId="1" pivotButton="0" quotePrefix="0" xfId="0"/>
    <xf numFmtId="0" fontId="3" fillId="3" borderId="1" applyAlignment="1" pivotButton="0" quotePrefix="0" xfId="0">
      <alignment horizontal="center"/>
    </xf>
    <xf numFmtId="0" fontId="4" fillId="3" borderId="1" pivotButton="0" quotePrefix="0" xfId="0"/>
    <xf numFmtId="164" fontId="3" fillId="0" borderId="0" applyAlignment="1" pivotButton="0" quotePrefix="0" xfId="0">
      <alignment horizontal="center"/>
    </xf>
    <xf numFmtId="165" fontId="3" fillId="0" borderId="0" pivotButton="0" quotePrefix="0" xfId="0"/>
    <xf numFmtId="10" fontId="3" fillId="0" borderId="0" pivotButton="0" quotePrefix="0" xfId="0"/>
    <xf numFmtId="0" fontId="3" fillId="0" borderId="1" pivotButton="0" quotePrefix="0" xfId="0"/>
    <xf numFmtId="164" fontId="3" fillId="0" borderId="1" applyAlignment="1" pivotButton="0" quotePrefix="0" xfId="0">
      <alignment horizontal="center"/>
    </xf>
    <xf numFmtId="167" fontId="3" fillId="0" borderId="1" pivotButton="0" quotePrefix="0" xfId="0"/>
    <xf numFmtId="0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167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 vs NIFTYBEES buy &amp; hold</a:t>
            </a:r>
          </a:p>
        </rich>
      </tx>
    </title>
    <plotArea>
      <lineChart>
        <grouping val="standard"/>
        <ser>
          <idx val="0"/>
          <order val="0"/>
          <tx>
            <strRef>
              <f>'Benchmark'!B1</f>
            </strRef>
          </tx>
          <spPr>
            <a:ln xmlns:a="http://schemas.openxmlformats.org/drawingml/2006/main" w="2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'Benchmark'!$A$2:$A$250</f>
            </numRef>
          </cat>
          <val>
            <numRef>
              <f>'Benchmark'!$B$2:$B$250</f>
            </numRef>
          </val>
          <smooth val="0"/>
        </ser>
        <ser>
          <idx val="1"/>
          <order val="1"/>
          <tx>
            <strRef>
              <f>'Benchmark'!C1</f>
            </strRef>
          </tx>
          <spPr>
            <a:ln xmlns:a="http://schemas.openxmlformats.org/drawingml/2006/main" w="2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'Benchmark'!$A$2:$A$250</f>
            </numRef>
          </cat>
          <val>
            <numRef>
              <f>'Benchmark'!$C$2:$C$250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delete val="0"/>
        <axPos val="l"/>
        <numFmt formatCode="mmm-yy" sourceLinked="0"/>
        <majorTickMark val="none"/>
        <minorTickMark val="none"/>
        <tickLblPos val="low"/>
        <crossAx val="100"/>
        <majorUnit val="3"/>
        <majorTimeUnit val="months"/>
      </dateAx>
      <valAx>
        <axId val="100"/>
        <scaling>
          <orientation val="minMax"/>
          <max val="115000"/>
          <min val="90000"/>
        </scaling>
        <delete val="0"/>
        <axPos val="l"/>
        <majorGridlines>
          <spPr>
            <a:ln xmlns:a="http://schemas.openxmlformats.org/drawingml/2006/main">
              <a:solidFill>
                <a:srgbClr val="E1E0D9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5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from previous peak</a:t>
            </a:r>
          </a:p>
        </rich>
      </tx>
    </title>
    <plotArea>
      <areaChart>
        <grouping val="standard"/>
        <ser>
          <idx val="0"/>
          <order val="0"/>
          <tx>
            <strRef>
              <f>'Equity Curve'!C1</f>
            </strRef>
          </tx>
          <spPr>
            <a:solidFill xmlns:a="http://schemas.openxmlformats.org/drawingml/2006/main">
              <a:srgbClr val="F2B8B8"/>
            </a:solidFill>
            <a:ln xmlns:a="http://schemas.openxmlformats.org/drawingml/2006/main">
              <a:solidFill>
                <a:srgbClr val="E34948"/>
              </a:solidFill>
              <a:prstDash val="solid"/>
            </a:ln>
          </spPr>
          <cat>
            <numRef>
              <f>'Equity Curve'!$A$2:$A$250</f>
            </numRef>
          </cat>
          <val>
            <numRef>
              <f>'Equity Curve'!$C$2:$C$250</f>
            </numRef>
          </val>
        </ser>
        <axId val="500"/>
        <axId val="100"/>
      </areaChart>
      <dateAx>
        <axId val="500"/>
        <scaling>
          <orientation val="minMax"/>
        </scaling>
        <delete val="0"/>
        <axPos val="l"/>
        <numFmt formatCode="mmm-yy" sourceLinked="0"/>
        <majorTickMark val="none"/>
        <minorTickMark val="none"/>
        <tickLblPos val="low"/>
        <crossAx val="100"/>
        <majorUnit val="3"/>
        <majorTimeUnit val="months"/>
      </dateAx>
      <valAx>
        <axId val="100"/>
        <scaling>
          <orientation val="minMax"/>
          <max val="0"/>
          <min val="-0.035"/>
        </scaling>
        <delete val="0"/>
        <axPos val="l"/>
        <majorGridlines>
          <spPr>
            <a:ln xmlns:a="http://schemas.openxmlformats.org/drawingml/2006/main">
              <a:solidFill>
                <a:srgbClr val="E1E0D9"/>
              </a:solidFill>
              <a:prstDash val="solid"/>
            </a:ln>
          </spPr>
        </majorGridlines>
        <numFmt formatCode="0%" sourceLinked="0"/>
        <majorTickMark val="none"/>
        <minorTickMark val="none"/>
        <crossAx val="5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How trades ended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'Trade Analytics'!C5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'Trade Analytics'!$B$6:$B$8</f>
            </numRef>
          </cat>
          <val>
            <numRef>
              <f>'Trade Analytics'!$C$6:$C$8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1E0D9"/>
              </a:solidFill>
              <a:prstDash val="solid"/>
            </a:ln>
          </spPr>
        </majorGridlines>
        <majorTickMark val="none"/>
        <minorTickMark val="none"/>
        <crossAx val="10"/>
        <crosses val="max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per trade, net of costs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'Trade Analytics'!C25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solidFill>
                <a:srgbClr val="E34948"/>
              </a:solidFill>
              <a:prstDash val="solid"/>
            </a:ln>
          </spPr>
          <cat>
            <numRef>
              <f>'Trade Analytics'!$B$26:$B$45</f>
            </numRef>
          </cat>
          <val>
            <numRef>
              <f>'Trade Analytics'!$C$26:$C$45</f>
            </numRef>
          </val>
        </ser>
        <ser>
          <idx val="1"/>
          <order val="1"/>
          <tx>
            <strRef>
              <f>'Trade Analytics'!D25</f>
            </strRef>
          </tx>
          <spPr>
            <a:solidFill xmlns:a="http://schemas.openxmlformats.org/drawingml/2006/main">
              <a:srgbClr val="0CA30C"/>
            </a:solidFill>
            <a:ln xmlns:a="http://schemas.openxmlformats.org/drawingml/2006/main">
              <a:solidFill>
                <a:srgbClr val="0CA30C"/>
              </a:solidFill>
              <a:prstDash val="solid"/>
            </a:ln>
          </spPr>
          <cat>
            <numRef>
              <f>'Trade Analytics'!$B$26:$B$45</f>
            </numRef>
          </cat>
          <val>
            <numRef>
              <f>'Trade Analytics'!$D$26:$D$45</f>
            </numRef>
          </val>
        </ser>
        <gapWidth val="1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1E0D9"/>
              </a:solidFill>
              <a:prstDash val="solid"/>
            </a:ln>
          </spPr>
        </majorGridlines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 by stock (₹)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'Trade Analytics'!D49</f>
            </strRef>
          </tx>
          <spPr>
            <a:solidFill xmlns:a="http://schemas.openxmlformats.org/drawingml/2006/main">
              <a:srgbClr val="0CA30C"/>
            </a:solidFill>
            <a:ln xmlns:a="http://schemas.openxmlformats.org/drawingml/2006/main">
              <a:solidFill>
                <a:srgbClr val="0CA30C"/>
              </a:solidFill>
              <a:prstDash val="solid"/>
            </a:ln>
          </spPr>
          <cat>
            <numRef>
              <f>'Trade Analytics'!$B$50:$B$64</f>
            </numRef>
          </cat>
          <val>
            <numRef>
              <f>'Trade Analytics'!$D$50:$D$64</f>
            </numRef>
          </val>
        </ser>
        <ser>
          <idx val="1"/>
          <order val="1"/>
          <tx>
            <strRef>
              <f>'Trade Analytics'!E49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solidFill>
                <a:srgbClr val="E34948"/>
              </a:solidFill>
              <a:prstDash val="solid"/>
            </a:ln>
          </spPr>
          <cat>
            <numRef>
              <f>'Trade Analytics'!$B$50:$B$64</f>
            </numRef>
          </cat>
          <val>
            <numRef>
              <f>'Trade Analytics'!$E$50:$E$64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1E0D9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118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34</row>
      <rowOff>0</rowOff>
    </from>
    <ext cx="1188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540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72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47</row>
      <rowOff>0</rowOff>
    </from>
    <ext cx="7200000" cy="352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1:T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.5" customWidth="1" min="5" max="5"/>
    <col width="11" customWidth="1" min="6" max="6"/>
    <col width="11" customWidth="1" min="7" max="7"/>
    <col width="11" customWidth="1" min="8" max="8"/>
    <col width="1.5" customWidth="1" min="9" max="9"/>
    <col width="11" customWidth="1" min="10" max="10"/>
    <col width="11" customWidth="1" min="11" max="11"/>
    <col width="11" customWidth="1" min="12" max="12"/>
    <col width="1.5" customWidth="1" min="13" max="13"/>
    <col width="11" customWidth="1" min="14" max="14"/>
    <col width="11" customWidth="1" min="15" max="15"/>
    <col width="11" customWidth="1" min="16" max="16"/>
    <col width="1.5" customWidth="1" min="17" max="17"/>
    <col width="11" customWidth="1" min="18" max="18"/>
    <col width="11" customWidth="1" min="19" max="19"/>
    <col width="11" customWidth="1" min="20" max="20"/>
  </cols>
  <sheetData>
    <row r="1" ht="34" customHeight="1">
      <c r="B1" s="1" t="inlineStr">
        <is>
          <t>AlgoEdge Backtest Report</t>
        </is>
      </c>
    </row>
    <row r="2" ht="18" customHeight="1">
      <c r="B2" s="2" t="inlineStr">
        <is>
          <t>Test window 01 Jan 2025 to 31 Dec 2025  |  Generated 11 Oct 2026, 11:58 PM</t>
        </is>
      </c>
    </row>
    <row r="3" ht="20" customHeight="1">
      <c r="B3" s="3" t="inlineStr">
        <is>
          <t>Entry RSI &lt; 25  |  Exit: +5% take-profit, -10% stop-loss or RSI &gt; 60  |  10% of capital per trade, 0.10% commission per side  |  Benchmark: NIFTYBEES.NS</t>
        </is>
      </c>
    </row>
    <row r="4" ht="8" customHeight="1"/>
    <row r="5" ht="17" customHeight="1">
      <c r="B5" s="4" t="inlineStr">
        <is>
          <t>Final value</t>
        </is>
      </c>
      <c r="C5" s="5" t="n"/>
      <c r="D5" s="6" t="n"/>
      <c r="F5" s="4" t="inlineStr">
        <is>
          <t>CAGR</t>
        </is>
      </c>
      <c r="G5" s="5" t="n"/>
      <c r="H5" s="6" t="n"/>
      <c r="J5" s="4" t="inlineStr">
        <is>
          <t>Max drawdown</t>
        </is>
      </c>
      <c r="K5" s="5" t="n"/>
      <c r="L5" s="6" t="n"/>
      <c r="N5" s="4" t="inlineStr">
        <is>
          <t>Sharpe ratio</t>
        </is>
      </c>
      <c r="O5" s="5" t="n"/>
      <c r="P5" s="6" t="n"/>
      <c r="R5" s="4" t="inlineStr">
        <is>
          <t>Profit factor</t>
        </is>
      </c>
      <c r="S5" s="5" t="n"/>
      <c r="T5" s="6" t="n"/>
    </row>
    <row r="6" ht="32" customHeight="1">
      <c r="B6" s="7">
        <f>'Executive Summary'!B3</f>
        <v/>
      </c>
      <c r="D6" s="8" t="n"/>
      <c r="F6" s="7">
        <f>'Executive Summary'!B4</f>
        <v/>
      </c>
      <c r="H6" s="8" t="n"/>
      <c r="J6" s="7">
        <f>'Executive Summary'!B8</f>
        <v/>
      </c>
      <c r="L6" s="8" t="n"/>
      <c r="N6" s="7">
        <f>'Executive Summary'!B6</f>
        <v/>
      </c>
      <c r="P6" s="8" t="n"/>
      <c r="R6" s="7">
        <f>'Executive Summary'!B9</f>
        <v/>
      </c>
      <c r="T6" s="8" t="n"/>
    </row>
    <row r="7" ht="17" customHeight="1">
      <c r="B7" s="9">
        <f>"Return: "&amp;TEXT('Equity Curve'!B250/'Equity Curve'!B2-1,"+0.00%;-0.00%")</f>
        <v/>
      </c>
      <c r="C7" s="10" t="n"/>
      <c r="D7" s="11" t="n"/>
      <c r="F7" s="9" t="inlineStr">
        <is>
          <t>annual growth rate</t>
        </is>
      </c>
      <c r="G7" s="10" t="n"/>
      <c r="H7" s="11" t="n"/>
      <c r="J7" s="9" t="inlineStr">
        <is>
          <t>worst peak-to-trough fall</t>
        </is>
      </c>
      <c r="K7" s="10" t="n"/>
      <c r="L7" s="11" t="n"/>
      <c r="N7" s="9" t="inlineStr">
        <is>
          <t>vs 5% risk-free rate</t>
        </is>
      </c>
      <c r="O7" s="10" t="n"/>
      <c r="P7" s="11" t="n"/>
      <c r="R7" s="9" t="inlineStr">
        <is>
          <t>gross profit / gross loss</t>
        </is>
      </c>
      <c r="S7" s="10" t="n"/>
      <c r="T7" s="11" t="n"/>
    </row>
    <row r="8" ht="8" customHeight="1"/>
    <row r="9" ht="17" customHeight="1">
      <c r="B9" s="4" t="inlineStr">
        <is>
          <t>Volatility (ann.)</t>
        </is>
      </c>
      <c r="C9" s="5" t="n"/>
      <c r="D9" s="6" t="n"/>
      <c r="F9" s="4" t="inlineStr">
        <is>
          <t>Sortino ratio</t>
        </is>
      </c>
      <c r="G9" s="5" t="n"/>
      <c r="H9" s="6" t="n"/>
      <c r="J9" s="4" t="inlineStr">
        <is>
          <t>Beta</t>
        </is>
      </c>
      <c r="K9" s="5" t="n"/>
      <c r="L9" s="6" t="n"/>
      <c r="N9" s="4" t="inlineStr">
        <is>
          <t>Alpha (annualized)</t>
        </is>
      </c>
      <c r="O9" s="5" t="n"/>
      <c r="P9" s="6" t="n"/>
      <c r="R9" s="4" t="inlineStr">
        <is>
          <t>Trades</t>
        </is>
      </c>
      <c r="S9" s="5" t="n"/>
      <c r="T9" s="6" t="n"/>
    </row>
    <row r="10" ht="32" customHeight="1">
      <c r="B10" s="7">
        <f>'Executive Summary'!B5</f>
        <v/>
      </c>
      <c r="D10" s="8" t="n"/>
      <c r="F10" s="7">
        <f>'Executive Summary'!B7</f>
        <v/>
      </c>
      <c r="H10" s="8" t="n"/>
      <c r="J10" s="7">
        <f>'Executive Summary'!B10</f>
        <v/>
      </c>
      <c r="L10" s="8" t="n"/>
      <c r="N10" s="7">
        <f>'Executive Summary'!B11</f>
        <v/>
      </c>
      <c r="P10" s="8" t="n"/>
      <c r="R10" s="12">
        <f>COUNT('Trade Log'!E2:E25)</f>
        <v/>
      </c>
      <c r="T10" s="8" t="n"/>
    </row>
    <row r="11" ht="17" customHeight="1">
      <c r="B11" s="9" t="inlineStr">
        <is>
          <t>std dev of daily returns</t>
        </is>
      </c>
      <c r="C11" s="10" t="n"/>
      <c r="D11" s="11" t="n"/>
      <c r="F11" s="9" t="inlineStr">
        <is>
          <t>penalises downside only</t>
        </is>
      </c>
      <c r="G11" s="10" t="n"/>
      <c r="H11" s="11" t="n"/>
      <c r="J11" s="9" t="inlineStr">
        <is>
          <t>vs NIFTYBEES.NS</t>
        </is>
      </c>
      <c r="K11" s="10" t="n"/>
      <c r="L11" s="11" t="n"/>
      <c r="N11" s="9" t="inlineStr">
        <is>
          <t>return beyond market exposure</t>
        </is>
      </c>
      <c r="O11" s="10" t="n"/>
      <c r="P11" s="11" t="n"/>
      <c r="R11" s="9">
        <f>TEXT(COUNTIF('Trade Log'!E2:E25,"&gt;0")/COUNT('Trade Log'!E2:E25),"0%")&amp;" win rate"</f>
        <v/>
      </c>
      <c r="S11" s="10" t="n"/>
      <c r="T11" s="11" t="n"/>
    </row>
    <row r="12" ht="10" customHeight="1"/>
    <row r="13" ht="22" customHeight="1">
      <c r="B13" s="13" t="inlineStr">
        <is>
          <t>Portfolio value vs benchmark</t>
        </is>
      </c>
    </row>
    <row r="32">
      <c r="B32" s="14">
        <f>"Strategy "&amp;TEXT(Benchmark!B250/Benchmark!B2-1,"+0.00%;-0.00%")&amp;" vs NIFTYBEES.NS "&amp;TEXT(Benchmark!C250/Benchmark!C2-1,"+0.00%;-0.00%")&amp;" over the same window. The strategy is invested only part of the time, so it lags in strong rallies."</f>
        <v/>
      </c>
    </row>
    <row r="34" ht="22" customHeight="1">
      <c r="B34" s="13" t="inlineStr">
        <is>
          <t>Drawdown</t>
        </is>
      </c>
    </row>
  </sheetData>
  <mergeCells count="31">
    <mergeCell ref="B11:D11"/>
    <mergeCell ref="J6:L6"/>
    <mergeCell ref="F5:H5"/>
    <mergeCell ref="N5:P5"/>
    <mergeCell ref="J11:L11"/>
    <mergeCell ref="J7:L7"/>
    <mergeCell ref="B10:D10"/>
    <mergeCell ref="N10:P10"/>
    <mergeCell ref="B9:D9"/>
    <mergeCell ref="N9:P9"/>
    <mergeCell ref="F9:H9"/>
    <mergeCell ref="B6:D6"/>
    <mergeCell ref="N6:P6"/>
    <mergeCell ref="B3:T3"/>
    <mergeCell ref="B5:D5"/>
    <mergeCell ref="R5:T5"/>
    <mergeCell ref="R9:T9"/>
    <mergeCell ref="B7:D7"/>
    <mergeCell ref="F11:H11"/>
    <mergeCell ref="N11:P11"/>
    <mergeCell ref="J5:L5"/>
    <mergeCell ref="N7:P7"/>
    <mergeCell ref="F10:H10"/>
    <mergeCell ref="F6:H6"/>
    <mergeCell ref="R11:T11"/>
    <mergeCell ref="J10:L10"/>
    <mergeCell ref="R10:T10"/>
    <mergeCell ref="F7:H7"/>
    <mergeCell ref="J9:L9"/>
    <mergeCell ref="R7:T7"/>
    <mergeCell ref="R6:T6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1:E6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3" customWidth="1" min="6" max="6"/>
  </cols>
  <sheetData>
    <row r="1" ht="34" customHeight="1">
      <c r="B1" s="1" t="inlineStr">
        <is>
          <t>Trade analytics</t>
        </is>
      </c>
    </row>
    <row r="2" ht="18" customHeight="1">
      <c r="B2" s="2" t="inlineStr">
        <is>
          <t>All figures are formulas on the Trade Log sheet, so they update with it.</t>
        </is>
      </c>
    </row>
    <row r="4" ht="22" customHeight="1">
      <c r="B4" s="13" t="inlineStr">
        <is>
          <t>How trades ended</t>
        </is>
      </c>
    </row>
    <row r="5" ht="22" customHeight="1">
      <c r="B5" s="15" t="inlineStr">
        <is>
          <t>Exit</t>
        </is>
      </c>
      <c r="C5" s="15" t="inlineStr">
        <is>
          <t>Trades</t>
        </is>
      </c>
      <c r="D5" s="15" t="inlineStr">
        <is>
          <t>Avg return (%)</t>
        </is>
      </c>
    </row>
    <row r="6">
      <c r="B6" s="16" t="inlineStr">
        <is>
          <t>Take-profit</t>
        </is>
      </c>
      <c r="C6" s="17">
        <f>COUNTIF('Trade Log'!$H$2:$H$25,"TP")</f>
        <v/>
      </c>
      <c r="D6" s="18">
        <f>IFERROR(AVERAGEIF('Trade Log'!$H$2:$H$25,"TP",'Trade Log'!$E$2:$E$25),0)</f>
        <v/>
      </c>
    </row>
    <row r="7">
      <c r="B7" s="16" t="inlineStr">
        <is>
          <t>Stop-loss</t>
        </is>
      </c>
      <c r="C7" s="17">
        <f>COUNTIF('Trade Log'!$H$2:$H$25,"SL")</f>
        <v/>
      </c>
      <c r="D7" s="18">
        <f>IFERROR(AVERAGEIF('Trade Log'!$H$2:$H$25,"SL",'Trade Log'!$E$2:$E$25),0)</f>
        <v/>
      </c>
    </row>
    <row r="8">
      <c r="B8" s="16" t="inlineStr">
        <is>
          <t>RSI exit</t>
        </is>
      </c>
      <c r="C8" s="17">
        <f>COUNTIF('Trade Log'!$H$2:$H$25,"RSI")</f>
        <v/>
      </c>
      <c r="D8" s="18">
        <f>IFERROR(AVERAGEIF('Trade Log'!$H$2:$H$25,"RSI",'Trade Log'!$E$2:$E$25),0)</f>
        <v/>
      </c>
    </row>
    <row r="11" ht="22" customHeight="1">
      <c r="B11" s="13" t="inlineStr">
        <is>
          <t>Trade summary</t>
        </is>
      </c>
    </row>
    <row r="12">
      <c r="B12" s="16" t="inlineStr">
        <is>
          <t>Total trades</t>
        </is>
      </c>
      <c r="C12" s="19">
        <f>COUNT('Trade Log'!$E$2:$E$25)</f>
        <v/>
      </c>
      <c r="D12" s="20" t="n"/>
    </row>
    <row r="13">
      <c r="B13" s="21" t="inlineStr">
        <is>
          <t>Win rate</t>
        </is>
      </c>
      <c r="C13" s="22">
        <f>COUNTIF('Trade Log'!$E$2:$E$25,"&gt;0")/COUNT('Trade Log'!$E$2:$E$25)</f>
        <v/>
      </c>
      <c r="D13" s="20" t="n"/>
    </row>
    <row r="14">
      <c r="B14" s="16" t="inlineStr">
        <is>
          <t>Average win</t>
        </is>
      </c>
      <c r="C14" s="18">
        <f>IFERROR(AVERAGEIF('Trade Log'!$E$2:$E$25,"&gt;0"),0)</f>
        <v/>
      </c>
      <c r="D14" s="20" t="n"/>
    </row>
    <row r="15">
      <c r="B15" s="21" t="inlineStr">
        <is>
          <t>Average loss</t>
        </is>
      </c>
      <c r="C15" s="23">
        <f>IFERROR(AVERAGEIF('Trade Log'!$E$2:$E$25,"&lt;=0"),0)</f>
        <v/>
      </c>
      <c r="D15" s="20" t="n"/>
    </row>
    <row r="16">
      <c r="B16" s="16" t="inlineStr">
        <is>
          <t>Best trade</t>
        </is>
      </c>
      <c r="C16" s="18">
        <f>MAX('Trade Log'!$E$2:$E$25)</f>
        <v/>
      </c>
      <c r="D16" s="20" t="n"/>
    </row>
    <row r="17">
      <c r="B17" s="21" t="inlineStr">
        <is>
          <t>Worst trade</t>
        </is>
      </c>
      <c r="C17" s="23">
        <f>MIN('Trade Log'!$E$2:$E$25)</f>
        <v/>
      </c>
      <c r="D17" s="20" t="n"/>
    </row>
    <row r="18">
      <c r="B18" s="16" t="inlineStr">
        <is>
          <t>Average per trade</t>
        </is>
      </c>
      <c r="C18" s="18">
        <f>AVERAGE('Trade Log'!$E$2:$E$25)</f>
        <v/>
      </c>
      <c r="D18" s="20" t="n"/>
    </row>
    <row r="19">
      <c r="B19" s="21" t="inlineStr">
        <is>
          <t>Average holding period</t>
        </is>
      </c>
      <c r="C19" s="24">
        <f>AVERAGE('Trade Log'!$D$2:$D$25)</f>
        <v/>
      </c>
      <c r="D19" s="20" t="n"/>
    </row>
    <row r="20">
      <c r="B20" s="16" t="inlineStr">
        <is>
          <t>Total profit</t>
        </is>
      </c>
      <c r="C20" s="25">
        <f>SUM('Trade Log'!$F$2:$F$25)</f>
        <v/>
      </c>
      <c r="D20" s="20" t="n"/>
    </row>
    <row r="23" ht="22" customHeight="1">
      <c r="B23" s="13" t="inlineStr">
        <is>
          <t>Distribution of trade returns</t>
        </is>
      </c>
    </row>
    <row r="24">
      <c r="B24" s="26" t="inlineStr">
        <is>
          <t>Bin width (%)</t>
        </is>
      </c>
      <c r="C24" s="27" t="n">
        <v>1</v>
      </c>
      <c r="D24" s="14" t="inlineStr">
        <is>
          <t>(edit to re-bin)</t>
        </is>
      </c>
    </row>
    <row r="25" ht="22" customHeight="1">
      <c r="B25" s="15" t="inlineStr">
        <is>
          <t>Bin start (%)</t>
        </is>
      </c>
      <c r="C25" s="15" t="inlineStr">
        <is>
          <t>Losses</t>
        </is>
      </c>
      <c r="D25" s="15" t="inlineStr">
        <is>
          <t>Wins</t>
        </is>
      </c>
    </row>
    <row r="26">
      <c r="B26" s="28" t="n">
        <v>-12</v>
      </c>
      <c r="C26" s="17">
        <f>IF($B26&lt;0,COUNTIFS('Trade Log'!$E$2:$E$25,"&gt;="&amp;$B26,'Trade Log'!$E$2:$E$25,"&lt;"&amp;($B26+$C$24)),0)</f>
        <v/>
      </c>
      <c r="D26" s="17">
        <f>IF($B26&gt;=0,COUNTIFS('Trade Log'!$E$2:$E$25,"&gt;="&amp;$B26,'Trade Log'!$E$2:$E$25,"&lt;"&amp;($B26+$C$24)),0)</f>
        <v/>
      </c>
    </row>
    <row r="27">
      <c r="B27" s="28" t="n">
        <v>-11</v>
      </c>
      <c r="C27" s="17">
        <f>IF($B27&lt;0,COUNTIFS('Trade Log'!$E$2:$E$25,"&gt;="&amp;$B27,'Trade Log'!$E$2:$E$25,"&lt;"&amp;($B27+$C$24)),0)</f>
        <v/>
      </c>
      <c r="D27" s="17">
        <f>IF($B27&gt;=0,COUNTIFS('Trade Log'!$E$2:$E$25,"&gt;="&amp;$B27,'Trade Log'!$E$2:$E$25,"&lt;"&amp;($B27+$C$24)),0)</f>
        <v/>
      </c>
    </row>
    <row r="28">
      <c r="B28" s="28" t="n">
        <v>-10</v>
      </c>
      <c r="C28" s="17">
        <f>IF($B28&lt;0,COUNTIFS('Trade Log'!$E$2:$E$25,"&gt;="&amp;$B28,'Trade Log'!$E$2:$E$25,"&lt;"&amp;($B28+$C$24)),0)</f>
        <v/>
      </c>
      <c r="D28" s="17">
        <f>IF($B28&gt;=0,COUNTIFS('Trade Log'!$E$2:$E$25,"&gt;="&amp;$B28,'Trade Log'!$E$2:$E$25,"&lt;"&amp;($B28+$C$24)),0)</f>
        <v/>
      </c>
    </row>
    <row r="29">
      <c r="B29" s="28" t="n">
        <v>-9</v>
      </c>
      <c r="C29" s="17">
        <f>IF($B29&lt;0,COUNTIFS('Trade Log'!$E$2:$E$25,"&gt;="&amp;$B29,'Trade Log'!$E$2:$E$25,"&lt;"&amp;($B29+$C$24)),0)</f>
        <v/>
      </c>
      <c r="D29" s="17">
        <f>IF($B29&gt;=0,COUNTIFS('Trade Log'!$E$2:$E$25,"&gt;="&amp;$B29,'Trade Log'!$E$2:$E$25,"&lt;"&amp;($B29+$C$24)),0)</f>
        <v/>
      </c>
    </row>
    <row r="30">
      <c r="B30" s="28" t="n">
        <v>-8</v>
      </c>
      <c r="C30" s="17">
        <f>IF($B30&lt;0,COUNTIFS('Trade Log'!$E$2:$E$25,"&gt;="&amp;$B30,'Trade Log'!$E$2:$E$25,"&lt;"&amp;($B30+$C$24)),0)</f>
        <v/>
      </c>
      <c r="D30" s="17">
        <f>IF($B30&gt;=0,COUNTIFS('Trade Log'!$E$2:$E$25,"&gt;="&amp;$B30,'Trade Log'!$E$2:$E$25,"&lt;"&amp;($B30+$C$24)),0)</f>
        <v/>
      </c>
    </row>
    <row r="31">
      <c r="B31" s="28" t="n">
        <v>-7</v>
      </c>
      <c r="C31" s="17">
        <f>IF($B31&lt;0,COUNTIFS('Trade Log'!$E$2:$E$25,"&gt;="&amp;$B31,'Trade Log'!$E$2:$E$25,"&lt;"&amp;($B31+$C$24)),0)</f>
        <v/>
      </c>
      <c r="D31" s="17">
        <f>IF($B31&gt;=0,COUNTIFS('Trade Log'!$E$2:$E$25,"&gt;="&amp;$B31,'Trade Log'!$E$2:$E$25,"&lt;"&amp;($B31+$C$24)),0)</f>
        <v/>
      </c>
    </row>
    <row r="32">
      <c r="B32" s="28" t="n">
        <v>-6</v>
      </c>
      <c r="C32" s="17">
        <f>IF($B32&lt;0,COUNTIFS('Trade Log'!$E$2:$E$25,"&gt;="&amp;$B32,'Trade Log'!$E$2:$E$25,"&lt;"&amp;($B32+$C$24)),0)</f>
        <v/>
      </c>
      <c r="D32" s="17">
        <f>IF($B32&gt;=0,COUNTIFS('Trade Log'!$E$2:$E$25,"&gt;="&amp;$B32,'Trade Log'!$E$2:$E$25,"&lt;"&amp;($B32+$C$24)),0)</f>
        <v/>
      </c>
    </row>
    <row r="33">
      <c r="B33" s="28" t="n">
        <v>-5</v>
      </c>
      <c r="C33" s="17">
        <f>IF($B33&lt;0,COUNTIFS('Trade Log'!$E$2:$E$25,"&gt;="&amp;$B33,'Trade Log'!$E$2:$E$25,"&lt;"&amp;($B33+$C$24)),0)</f>
        <v/>
      </c>
      <c r="D33" s="17">
        <f>IF($B33&gt;=0,COUNTIFS('Trade Log'!$E$2:$E$25,"&gt;="&amp;$B33,'Trade Log'!$E$2:$E$25,"&lt;"&amp;($B33+$C$24)),0)</f>
        <v/>
      </c>
    </row>
    <row r="34">
      <c r="B34" s="28" t="n">
        <v>-4</v>
      </c>
      <c r="C34" s="17">
        <f>IF($B34&lt;0,COUNTIFS('Trade Log'!$E$2:$E$25,"&gt;="&amp;$B34,'Trade Log'!$E$2:$E$25,"&lt;"&amp;($B34+$C$24)),0)</f>
        <v/>
      </c>
      <c r="D34" s="17">
        <f>IF($B34&gt;=0,COUNTIFS('Trade Log'!$E$2:$E$25,"&gt;="&amp;$B34,'Trade Log'!$E$2:$E$25,"&lt;"&amp;($B34+$C$24)),0)</f>
        <v/>
      </c>
    </row>
    <row r="35">
      <c r="B35" s="28" t="n">
        <v>-3</v>
      </c>
      <c r="C35" s="17">
        <f>IF($B35&lt;0,COUNTIFS('Trade Log'!$E$2:$E$25,"&gt;="&amp;$B35,'Trade Log'!$E$2:$E$25,"&lt;"&amp;($B35+$C$24)),0)</f>
        <v/>
      </c>
      <c r="D35" s="17">
        <f>IF($B35&gt;=0,COUNTIFS('Trade Log'!$E$2:$E$25,"&gt;="&amp;$B35,'Trade Log'!$E$2:$E$25,"&lt;"&amp;($B35+$C$24)),0)</f>
        <v/>
      </c>
    </row>
    <row r="36">
      <c r="B36" s="28" t="n">
        <v>-2</v>
      </c>
      <c r="C36" s="17">
        <f>IF($B36&lt;0,COUNTIFS('Trade Log'!$E$2:$E$25,"&gt;="&amp;$B36,'Trade Log'!$E$2:$E$25,"&lt;"&amp;($B36+$C$24)),0)</f>
        <v/>
      </c>
      <c r="D36" s="17">
        <f>IF($B36&gt;=0,COUNTIFS('Trade Log'!$E$2:$E$25,"&gt;="&amp;$B36,'Trade Log'!$E$2:$E$25,"&lt;"&amp;($B36+$C$24)),0)</f>
        <v/>
      </c>
    </row>
    <row r="37">
      <c r="B37" s="28" t="n">
        <v>-1</v>
      </c>
      <c r="C37" s="17">
        <f>IF($B37&lt;0,COUNTIFS('Trade Log'!$E$2:$E$25,"&gt;="&amp;$B37,'Trade Log'!$E$2:$E$25,"&lt;"&amp;($B37+$C$24)),0)</f>
        <v/>
      </c>
      <c r="D37" s="17">
        <f>IF($B37&gt;=0,COUNTIFS('Trade Log'!$E$2:$E$25,"&gt;="&amp;$B37,'Trade Log'!$E$2:$E$25,"&lt;"&amp;($B37+$C$24)),0)</f>
        <v/>
      </c>
    </row>
    <row r="38">
      <c r="B38" s="28" t="n">
        <v>0</v>
      </c>
      <c r="C38" s="17">
        <f>IF($B38&lt;0,COUNTIFS('Trade Log'!$E$2:$E$25,"&gt;="&amp;$B38,'Trade Log'!$E$2:$E$25,"&lt;"&amp;($B38+$C$24)),0)</f>
        <v/>
      </c>
      <c r="D38" s="17">
        <f>IF($B38&gt;=0,COUNTIFS('Trade Log'!$E$2:$E$25,"&gt;="&amp;$B38,'Trade Log'!$E$2:$E$25,"&lt;"&amp;($B38+$C$24)),0)</f>
        <v/>
      </c>
    </row>
    <row r="39">
      <c r="B39" s="28" t="n">
        <v>1</v>
      </c>
      <c r="C39" s="17">
        <f>IF($B39&lt;0,COUNTIFS('Trade Log'!$E$2:$E$25,"&gt;="&amp;$B39,'Trade Log'!$E$2:$E$25,"&lt;"&amp;($B39+$C$24)),0)</f>
        <v/>
      </c>
      <c r="D39" s="17">
        <f>IF($B39&gt;=0,COUNTIFS('Trade Log'!$E$2:$E$25,"&gt;="&amp;$B39,'Trade Log'!$E$2:$E$25,"&lt;"&amp;($B39+$C$24)),0)</f>
        <v/>
      </c>
    </row>
    <row r="40">
      <c r="B40" s="28" t="n">
        <v>2</v>
      </c>
      <c r="C40" s="17">
        <f>IF($B40&lt;0,COUNTIFS('Trade Log'!$E$2:$E$25,"&gt;="&amp;$B40,'Trade Log'!$E$2:$E$25,"&lt;"&amp;($B40+$C$24)),0)</f>
        <v/>
      </c>
      <c r="D40" s="17">
        <f>IF($B40&gt;=0,COUNTIFS('Trade Log'!$E$2:$E$25,"&gt;="&amp;$B40,'Trade Log'!$E$2:$E$25,"&lt;"&amp;($B40+$C$24)),0)</f>
        <v/>
      </c>
    </row>
    <row r="41">
      <c r="B41" s="28" t="n">
        <v>3</v>
      </c>
      <c r="C41" s="17">
        <f>IF($B41&lt;0,COUNTIFS('Trade Log'!$E$2:$E$25,"&gt;="&amp;$B41,'Trade Log'!$E$2:$E$25,"&lt;"&amp;($B41+$C$24)),0)</f>
        <v/>
      </c>
      <c r="D41" s="17">
        <f>IF($B41&gt;=0,COUNTIFS('Trade Log'!$E$2:$E$25,"&gt;="&amp;$B41,'Trade Log'!$E$2:$E$25,"&lt;"&amp;($B41+$C$24)),0)</f>
        <v/>
      </c>
    </row>
    <row r="42">
      <c r="B42" s="28" t="n">
        <v>4</v>
      </c>
      <c r="C42" s="17">
        <f>IF($B42&lt;0,COUNTIFS('Trade Log'!$E$2:$E$25,"&gt;="&amp;$B42,'Trade Log'!$E$2:$E$25,"&lt;"&amp;($B42+$C$24)),0)</f>
        <v/>
      </c>
      <c r="D42" s="17">
        <f>IF($B42&gt;=0,COUNTIFS('Trade Log'!$E$2:$E$25,"&gt;="&amp;$B42,'Trade Log'!$E$2:$E$25,"&lt;"&amp;($B42+$C$24)),0)</f>
        <v/>
      </c>
    </row>
    <row r="43">
      <c r="B43" s="28" t="n">
        <v>5</v>
      </c>
      <c r="C43" s="17">
        <f>IF($B43&lt;0,COUNTIFS('Trade Log'!$E$2:$E$25,"&gt;="&amp;$B43,'Trade Log'!$E$2:$E$25,"&lt;"&amp;($B43+$C$24)),0)</f>
        <v/>
      </c>
      <c r="D43" s="17">
        <f>IF($B43&gt;=0,COUNTIFS('Trade Log'!$E$2:$E$25,"&gt;="&amp;$B43,'Trade Log'!$E$2:$E$25,"&lt;"&amp;($B43+$C$24)),0)</f>
        <v/>
      </c>
    </row>
    <row r="44">
      <c r="B44" s="28" t="n">
        <v>6</v>
      </c>
      <c r="C44" s="17">
        <f>IF($B44&lt;0,COUNTIFS('Trade Log'!$E$2:$E$25,"&gt;="&amp;$B44,'Trade Log'!$E$2:$E$25,"&lt;"&amp;($B44+$C$24)),0)</f>
        <v/>
      </c>
      <c r="D44" s="17">
        <f>IF($B44&gt;=0,COUNTIFS('Trade Log'!$E$2:$E$25,"&gt;="&amp;$B44,'Trade Log'!$E$2:$E$25,"&lt;"&amp;($B44+$C$24)),0)</f>
        <v/>
      </c>
    </row>
    <row r="45">
      <c r="B45" s="28" t="n">
        <v>7</v>
      </c>
      <c r="C45" s="17">
        <f>IF($B45&lt;0,COUNTIFS('Trade Log'!$E$2:$E$25,"&gt;="&amp;$B45,'Trade Log'!$E$2:$E$25,"&lt;"&amp;($B45+$C$24)),0)</f>
        <v/>
      </c>
      <c r="D45" s="17">
        <f>IF($B45&gt;=0,COUNTIFS('Trade Log'!$E$2:$E$25,"&gt;="&amp;$B45,'Trade Log'!$E$2:$E$25,"&lt;"&amp;($B45+$C$24)),0)</f>
        <v/>
      </c>
    </row>
    <row r="48" ht="22" customHeight="1">
      <c r="B48" s="13" t="inlineStr">
        <is>
          <t>Profit by stock</t>
        </is>
      </c>
    </row>
    <row r="49" ht="22" customHeight="1">
      <c r="B49" s="15" t="inlineStr">
        <is>
          <t>Ticker</t>
        </is>
      </c>
      <c r="C49" s="15" t="inlineStr">
        <is>
          <t>Profit (₹)</t>
        </is>
      </c>
      <c r="D49" s="15" t="inlineStr">
        <is>
          <t>Gain</t>
        </is>
      </c>
      <c r="E49" s="15" t="inlineStr">
        <is>
          <t>Loss</t>
        </is>
      </c>
    </row>
    <row r="50">
      <c r="B50" s="16" t="inlineStr">
        <is>
          <t>INFY</t>
        </is>
      </c>
      <c r="C50" s="29">
        <f>SUMIF('Trade Log'!$A$2:$A$25,B50,'Trade Log'!$F$2:$F$25)</f>
        <v/>
      </c>
      <c r="D50" s="29">
        <f>IF(C50&gt;=0,C50,0)</f>
        <v/>
      </c>
      <c r="E50" s="29">
        <f>IF(C50&lt;0,C50,0)</f>
        <v/>
      </c>
    </row>
    <row r="51">
      <c r="B51" s="16" t="inlineStr">
        <is>
          <t>TECHM</t>
        </is>
      </c>
      <c r="C51" s="29">
        <f>SUMIF('Trade Log'!$A$2:$A$25,B51,'Trade Log'!$F$2:$F$25)</f>
        <v/>
      </c>
      <c r="D51" s="29">
        <f>IF(C51&gt;=0,C51,0)</f>
        <v/>
      </c>
      <c r="E51" s="29">
        <f>IF(C51&lt;0,C51,0)</f>
        <v/>
      </c>
    </row>
    <row r="52">
      <c r="B52" s="16" t="inlineStr">
        <is>
          <t>TCS</t>
        </is>
      </c>
      <c r="C52" s="29">
        <f>SUMIF('Trade Log'!$A$2:$A$25,B52,'Trade Log'!$F$2:$F$25)</f>
        <v/>
      </c>
      <c r="D52" s="29">
        <f>IF(C52&gt;=0,C52,0)</f>
        <v/>
      </c>
      <c r="E52" s="29">
        <f>IF(C52&lt;0,C52,0)</f>
        <v/>
      </c>
    </row>
    <row r="53">
      <c r="B53" s="16" t="inlineStr">
        <is>
          <t>TITAN</t>
        </is>
      </c>
      <c r="C53" s="29">
        <f>SUMIF('Trade Log'!$A$2:$A$25,B53,'Trade Log'!$F$2:$F$25)</f>
        <v/>
      </c>
      <c r="D53" s="29">
        <f>IF(C53&gt;=0,C53,0)</f>
        <v/>
      </c>
      <c r="E53" s="29">
        <f>IF(C53&lt;0,C53,0)</f>
        <v/>
      </c>
    </row>
    <row r="54">
      <c r="B54" s="16" t="inlineStr">
        <is>
          <t>HINDALCO</t>
        </is>
      </c>
      <c r="C54" s="29">
        <f>SUMIF('Trade Log'!$A$2:$A$25,B54,'Trade Log'!$F$2:$F$25)</f>
        <v/>
      </c>
      <c r="D54" s="29">
        <f>IF(C54&gt;=0,C54,0)</f>
        <v/>
      </c>
      <c r="E54" s="29">
        <f>IF(C54&lt;0,C54,0)</f>
        <v/>
      </c>
    </row>
    <row r="55">
      <c r="B55" s="16" t="inlineStr">
        <is>
          <t>ADANIENT</t>
        </is>
      </c>
      <c r="C55" s="29">
        <f>SUMIF('Trade Log'!$A$2:$A$25,B55,'Trade Log'!$F$2:$F$25)</f>
        <v/>
      </c>
      <c r="D55" s="29">
        <f>IF(C55&gt;=0,C55,0)</f>
        <v/>
      </c>
      <c r="E55" s="29">
        <f>IF(C55&lt;0,C55,0)</f>
        <v/>
      </c>
    </row>
    <row r="56">
      <c r="B56" s="16" t="inlineStr">
        <is>
          <t>INDIGO</t>
        </is>
      </c>
      <c r="C56" s="29">
        <f>SUMIF('Trade Log'!$A$2:$A$25,B56,'Trade Log'!$F$2:$F$25)</f>
        <v/>
      </c>
      <c r="D56" s="29">
        <f>IF(C56&gt;=0,C56,0)</f>
        <v/>
      </c>
      <c r="E56" s="29">
        <f>IF(C56&lt;0,C56,0)</f>
        <v/>
      </c>
    </row>
    <row r="57">
      <c r="B57" s="16" t="inlineStr">
        <is>
          <t>ICICIBANK</t>
        </is>
      </c>
      <c r="C57" s="29">
        <f>SUMIF('Trade Log'!$A$2:$A$25,B57,'Trade Log'!$F$2:$F$25)</f>
        <v/>
      </c>
      <c r="D57" s="29">
        <f>IF(C57&gt;=0,C57,0)</f>
        <v/>
      </c>
      <c r="E57" s="29">
        <f>IF(C57&lt;0,C57,0)</f>
        <v/>
      </c>
    </row>
    <row r="58">
      <c r="B58" s="16" t="inlineStr">
        <is>
          <t>HCLTECH</t>
        </is>
      </c>
      <c r="C58" s="29">
        <f>SUMIF('Trade Log'!$A$2:$A$25,B58,'Trade Log'!$F$2:$F$25)</f>
        <v/>
      </c>
      <c r="D58" s="29">
        <f>IF(C58&gt;=0,C58,0)</f>
        <v/>
      </c>
      <c r="E58" s="29">
        <f>IF(C58&lt;0,C58,0)</f>
        <v/>
      </c>
    </row>
    <row r="59">
      <c r="B59" s="16" t="inlineStr">
        <is>
          <t>JIOFIN</t>
        </is>
      </c>
      <c r="C59" s="29">
        <f>SUMIF('Trade Log'!$A$2:$A$25,B59,'Trade Log'!$F$2:$F$25)</f>
        <v/>
      </c>
      <c r="D59" s="29">
        <f>IF(C59&gt;=0,C59,0)</f>
        <v/>
      </c>
      <c r="E59" s="29">
        <f>IF(C59&lt;0,C59,0)</f>
        <v/>
      </c>
    </row>
    <row r="60">
      <c r="B60" s="16" t="inlineStr">
        <is>
          <t>AXISBANK</t>
        </is>
      </c>
      <c r="C60" s="29">
        <f>SUMIF('Trade Log'!$A$2:$A$25,B60,'Trade Log'!$F$2:$F$25)</f>
        <v/>
      </c>
      <c r="D60" s="29">
        <f>IF(C60&gt;=0,C60,0)</f>
        <v/>
      </c>
      <c r="E60" s="29">
        <f>IF(C60&lt;0,C60,0)</f>
        <v/>
      </c>
    </row>
    <row r="61">
      <c r="B61" s="16" t="inlineStr">
        <is>
          <t>DRREDDY</t>
        </is>
      </c>
      <c r="C61" s="29">
        <f>SUMIF('Trade Log'!$A$2:$A$25,B61,'Trade Log'!$F$2:$F$25)</f>
        <v/>
      </c>
      <c r="D61" s="29">
        <f>IF(C61&gt;=0,C61,0)</f>
        <v/>
      </c>
      <c r="E61" s="29">
        <f>IF(C61&lt;0,C61,0)</f>
        <v/>
      </c>
    </row>
    <row r="62">
      <c r="B62" s="16" t="inlineStr">
        <is>
          <t>TRENT</t>
        </is>
      </c>
      <c r="C62" s="29">
        <f>SUMIF('Trade Log'!$A$2:$A$25,B62,'Trade Log'!$F$2:$F$25)</f>
        <v/>
      </c>
      <c r="D62" s="29">
        <f>IF(C62&gt;=0,C62,0)</f>
        <v/>
      </c>
      <c r="E62" s="29">
        <f>IF(C62&lt;0,C62,0)</f>
        <v/>
      </c>
    </row>
    <row r="63">
      <c r="B63" s="16" t="inlineStr">
        <is>
          <t>TMPV</t>
        </is>
      </c>
      <c r="C63" s="29">
        <f>SUMIF('Trade Log'!$A$2:$A$25,B63,'Trade Log'!$F$2:$F$25)</f>
        <v/>
      </c>
      <c r="D63" s="29">
        <f>IF(C63&gt;=0,C63,0)</f>
        <v/>
      </c>
      <c r="E63" s="29">
        <f>IF(C63&lt;0,C63,0)</f>
        <v/>
      </c>
    </row>
    <row r="64">
      <c r="B64" s="16" t="inlineStr">
        <is>
          <t>SUNPHARMA</t>
        </is>
      </c>
      <c r="C64" s="29">
        <f>SUMIF('Trade Log'!$A$2:$A$25,B64,'Trade Log'!$F$2:$F$25)</f>
        <v/>
      </c>
      <c r="D64" s="29">
        <f>IF(C64&gt;=0,C64,0)</f>
        <v/>
      </c>
      <c r="E64" s="29">
        <f>IF(C64&lt;0,C64,0)</f>
        <v/>
      </c>
    </row>
  </sheetData>
  <mergeCells count="9">
    <mergeCell ref="C20:D20"/>
    <mergeCell ref="C12:D12"/>
    <mergeCell ref="C16:D16"/>
    <mergeCell ref="C15:D15"/>
    <mergeCell ref="C19:D19"/>
    <mergeCell ref="C14:D14"/>
    <mergeCell ref="C13:D13"/>
    <mergeCell ref="C18:D18"/>
    <mergeCell ref="C17:D17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A78D6"/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70" customWidth="1" min="3" max="3"/>
  </cols>
  <sheetData>
    <row r="1" ht="22" customHeight="1">
      <c r="A1" s="15" t="inlineStr">
        <is>
          <t>Metric</t>
        </is>
      </c>
      <c r="B1" s="15" t="inlineStr">
        <is>
          <t>Value</t>
        </is>
      </c>
      <c r="C1" s="15" t="inlineStr">
        <is>
          <t>What it means</t>
        </is>
      </c>
    </row>
    <row r="2">
      <c r="A2" s="16" t="inlineStr">
        <is>
          <t>Initial Capital</t>
        </is>
      </c>
      <c r="B2" s="17" t="inlineStr">
        <is>
          <t>₹100,000.00</t>
        </is>
      </c>
      <c r="C2" s="30" t="inlineStr">
        <is>
          <t>Starting cash for the simulation.</t>
        </is>
      </c>
    </row>
    <row r="3">
      <c r="A3" s="21" t="inlineStr">
        <is>
          <t>Final Portfolio Value</t>
        </is>
      </c>
      <c r="B3" s="31" t="inlineStr">
        <is>
          <t>₹105,138.82</t>
        </is>
      </c>
      <c r="C3" s="32" t="inlineStr">
        <is>
          <t>Cash plus open positions at the end of the test window.</t>
        </is>
      </c>
    </row>
    <row r="4">
      <c r="A4" s="16" t="inlineStr">
        <is>
          <t>CAGR (%)</t>
        </is>
      </c>
      <c r="B4" s="17" t="inlineStr">
        <is>
          <t>5.16%</t>
        </is>
      </c>
      <c r="C4" s="30" t="inlineStr">
        <is>
          <t>Compound annual growth rate of the portfolio.</t>
        </is>
      </c>
    </row>
    <row r="5">
      <c r="A5" s="21" t="inlineStr">
        <is>
          <t>Annualized Volatility (%)</t>
        </is>
      </c>
      <c r="B5" s="31" t="inlineStr">
        <is>
          <t>4.13%</t>
        </is>
      </c>
      <c r="C5" s="32" t="inlineStr">
        <is>
          <t>Standard deviation of daily returns, scaled to a year.</t>
        </is>
      </c>
    </row>
    <row r="6">
      <c r="A6" s="16" t="inlineStr">
        <is>
          <t>Sharpe Ratio (Rf=5%)</t>
        </is>
      </c>
      <c r="B6" s="17" t="inlineStr">
        <is>
          <t>0.04</t>
        </is>
      </c>
      <c r="C6" s="30" t="inlineStr">
        <is>
          <t>Excess return over the 5% risk-free rate, per unit of volatility.</t>
        </is>
      </c>
    </row>
    <row r="7">
      <c r="A7" s="21" t="inlineStr">
        <is>
          <t>Sortino Ratio</t>
        </is>
      </c>
      <c r="B7" s="31" t="inlineStr">
        <is>
          <t>0.07</t>
        </is>
      </c>
      <c r="C7" s="32" t="inlineStr">
        <is>
          <t>Like Sharpe, but only penalises downside volatility.</t>
        </is>
      </c>
    </row>
    <row r="8">
      <c r="A8" s="16" t="inlineStr">
        <is>
          <t>Max Drawdown (%)</t>
        </is>
      </c>
      <c r="B8" s="17" t="inlineStr">
        <is>
          <t>-2.51%</t>
        </is>
      </c>
      <c r="C8" s="30" t="inlineStr">
        <is>
          <t>Largest peak-to-trough fall in portfolio value.</t>
        </is>
      </c>
    </row>
    <row r="9">
      <c r="A9" s="21" t="inlineStr">
        <is>
          <t>Profit Factor</t>
        </is>
      </c>
      <c r="B9" s="31" t="inlineStr">
        <is>
          <t>2.05</t>
        </is>
      </c>
      <c r="C9" s="32" t="inlineStr">
        <is>
          <t>Gross profit divided by gross loss across all trades.</t>
        </is>
      </c>
    </row>
    <row r="10">
      <c r="A10" s="16" t="inlineStr">
        <is>
          <t>Strategy Beta</t>
        </is>
      </c>
      <c r="B10" s="17" t="inlineStr">
        <is>
          <t>0.19</t>
        </is>
      </c>
      <c r="C10" s="30" t="inlineStr">
        <is>
          <t>Sensitivity to NIFTYBEES daily moves (1.0 = moves with the market).</t>
        </is>
      </c>
    </row>
    <row r="11">
      <c r="A11" s="21" t="inlineStr">
        <is>
          <t>Strategy Alpha (Annualized)</t>
        </is>
      </c>
      <c r="B11" s="31" t="inlineStr">
        <is>
          <t>-0.94%</t>
        </is>
      </c>
      <c r="C11" s="32" t="inlineStr">
        <is>
          <t>CAPM alpha: return not explained by market exposure.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A78D6"/>
    <outlinePr summaryBelow="1" summaryRight="1"/>
    <pageSetUpPr/>
  </sheetPr>
  <dimension ref="A1:C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 ht="22" customHeight="1">
      <c r="A1" s="15" t="inlineStr">
        <is>
          <t>Date</t>
        </is>
      </c>
      <c r="B1" s="15" t="inlineStr">
        <is>
          <t>Portfolio Equity</t>
        </is>
      </c>
      <c r="C1" s="15" t="inlineStr">
        <is>
          <t>Drawdown</t>
        </is>
      </c>
    </row>
    <row r="2">
      <c r="A2" s="33" t="n">
        <v>45658</v>
      </c>
      <c r="B2" s="34" t="n">
        <v>100000</v>
      </c>
      <c r="C2" s="35">
        <f>B2/MAX(B$2:B2)-1</f>
        <v/>
      </c>
    </row>
    <row r="3">
      <c r="A3" s="33" t="n">
        <v>45659</v>
      </c>
      <c r="B3" s="34" t="n">
        <v>100000</v>
      </c>
      <c r="C3" s="35">
        <f>B3/MAX(B$2:B3)-1</f>
        <v/>
      </c>
    </row>
    <row r="4">
      <c r="A4" s="33" t="n">
        <v>45660</v>
      </c>
      <c r="B4" s="34" t="n">
        <v>100000</v>
      </c>
      <c r="C4" s="35">
        <f>B4/MAX(B$2:B4)-1</f>
        <v/>
      </c>
    </row>
    <row r="5">
      <c r="A5" s="33" t="n">
        <v>45663</v>
      </c>
      <c r="B5" s="34" t="n">
        <v>100000</v>
      </c>
      <c r="C5" s="35">
        <f>B5/MAX(B$2:B5)-1</f>
        <v/>
      </c>
    </row>
    <row r="6">
      <c r="A6" s="33" t="n">
        <v>45664</v>
      </c>
      <c r="B6" s="34" t="n">
        <v>100000</v>
      </c>
      <c r="C6" s="35">
        <f>B6/MAX(B$2:B6)-1</f>
        <v/>
      </c>
    </row>
    <row r="7">
      <c r="A7" s="33" t="n">
        <v>45665</v>
      </c>
      <c r="B7" s="34" t="n">
        <v>100000</v>
      </c>
      <c r="C7" s="35">
        <f>B7/MAX(B$2:B7)-1</f>
        <v/>
      </c>
    </row>
    <row r="8">
      <c r="A8" s="33" t="n">
        <v>45666</v>
      </c>
      <c r="B8" s="34" t="n">
        <v>100000</v>
      </c>
      <c r="C8" s="35">
        <f>B8/MAX(B$2:B8)-1</f>
        <v/>
      </c>
    </row>
    <row r="9">
      <c r="A9" s="33" t="n">
        <v>45667</v>
      </c>
      <c r="B9" s="34" t="n">
        <v>100000</v>
      </c>
      <c r="C9" s="35">
        <f>B9/MAX(B$2:B9)-1</f>
        <v/>
      </c>
    </row>
    <row r="10">
      <c r="A10" s="33" t="n">
        <v>45670</v>
      </c>
      <c r="B10" s="34" t="n">
        <v>100000</v>
      </c>
      <c r="C10" s="35">
        <f>B10/MAX(B$2:B10)-1</f>
        <v/>
      </c>
    </row>
    <row r="11">
      <c r="A11" s="33" t="n">
        <v>45671</v>
      </c>
      <c r="B11" s="34" t="n">
        <v>100000</v>
      </c>
      <c r="C11" s="35">
        <f>B11/MAX(B$2:B11)-1</f>
        <v/>
      </c>
    </row>
    <row r="12">
      <c r="A12" s="33" t="n">
        <v>45672</v>
      </c>
      <c r="B12" s="34" t="n">
        <v>100000</v>
      </c>
      <c r="C12" s="35">
        <f>B12/MAX(B$2:B12)-1</f>
        <v/>
      </c>
    </row>
    <row r="13">
      <c r="A13" s="33" t="n">
        <v>45673</v>
      </c>
      <c r="B13" s="34" t="n">
        <v>100000</v>
      </c>
      <c r="C13" s="35">
        <f>B13/MAX(B$2:B13)-1</f>
        <v/>
      </c>
    </row>
    <row r="14">
      <c r="A14" s="33" t="n">
        <v>45674</v>
      </c>
      <c r="B14" s="34" t="n">
        <v>100000</v>
      </c>
      <c r="C14" s="35">
        <f>B14/MAX(B$2:B14)-1</f>
        <v/>
      </c>
    </row>
    <row r="15">
      <c r="A15" s="33" t="n">
        <v>45677</v>
      </c>
      <c r="B15" s="34" t="n">
        <v>100000</v>
      </c>
      <c r="C15" s="35">
        <f>B15/MAX(B$2:B15)-1</f>
        <v/>
      </c>
    </row>
    <row r="16">
      <c r="A16" s="33" t="n">
        <v>45678</v>
      </c>
      <c r="B16" s="34" t="n">
        <v>99973.5</v>
      </c>
      <c r="C16" s="35">
        <f>B16/MAX(B$2:B16)-1</f>
        <v/>
      </c>
    </row>
    <row r="17">
      <c r="A17" s="33" t="n">
        <v>45679</v>
      </c>
      <c r="B17" s="34" t="n">
        <v>100257.04</v>
      </c>
      <c r="C17" s="35">
        <f>B17/MAX(B$2:B17)-1</f>
        <v/>
      </c>
    </row>
    <row r="18">
      <c r="A18" s="33" t="n">
        <v>45680</v>
      </c>
      <c r="B18" s="34" t="n">
        <v>100410.24</v>
      </c>
      <c r="C18" s="35">
        <f>B18/MAX(B$2:B18)-1</f>
        <v/>
      </c>
    </row>
    <row r="19">
      <c r="A19" s="33" t="n">
        <v>45681</v>
      </c>
      <c r="B19" s="34" t="n">
        <v>99976.67999999999</v>
      </c>
      <c r="C19" s="35">
        <f>B19/MAX(B$2:B19)-1</f>
        <v/>
      </c>
    </row>
    <row r="20">
      <c r="A20" s="33" t="n">
        <v>45684</v>
      </c>
      <c r="B20" s="34" t="n">
        <v>99390.64999999999</v>
      </c>
      <c r="C20" s="35">
        <f>B20/MAX(B$2:B20)-1</f>
        <v/>
      </c>
    </row>
    <row r="21">
      <c r="A21" s="33" t="n">
        <v>45685</v>
      </c>
      <c r="B21" s="34" t="n">
        <v>99056.36</v>
      </c>
      <c r="C21" s="35">
        <f>B21/MAX(B$2:B21)-1</f>
        <v/>
      </c>
    </row>
    <row r="22">
      <c r="A22" s="33" t="n">
        <v>45686</v>
      </c>
      <c r="B22" s="34" t="n">
        <v>99412.37</v>
      </c>
      <c r="C22" s="35">
        <f>B22/MAX(B$2:B22)-1</f>
        <v/>
      </c>
    </row>
    <row r="23">
      <c r="A23" s="33" t="n">
        <v>45687</v>
      </c>
      <c r="B23" s="34" t="n">
        <v>99385.92999999999</v>
      </c>
      <c r="C23" s="35">
        <f>B23/MAX(B$2:B23)-1</f>
        <v/>
      </c>
    </row>
    <row r="24">
      <c r="A24" s="33" t="n">
        <v>45688</v>
      </c>
      <c r="B24" s="34" t="n">
        <v>99883.64</v>
      </c>
      <c r="C24" s="35">
        <f>B24/MAX(B$2:B24)-1</f>
        <v/>
      </c>
    </row>
    <row r="25">
      <c r="A25" s="33" t="n">
        <v>45689</v>
      </c>
      <c r="B25" s="34" t="n">
        <v>99771.10000000001</v>
      </c>
      <c r="C25" s="35">
        <f>B25/MAX(B$2:B25)-1</f>
        <v/>
      </c>
    </row>
    <row r="26">
      <c r="A26" s="33" t="n">
        <v>45691</v>
      </c>
      <c r="B26" s="34" t="n">
        <v>99431.60000000001</v>
      </c>
      <c r="C26" s="35">
        <f>B26/MAX(B$2:B26)-1</f>
        <v/>
      </c>
    </row>
    <row r="27">
      <c r="A27" s="33" t="n">
        <v>45692</v>
      </c>
      <c r="B27" s="34" t="n">
        <v>100146.02</v>
      </c>
      <c r="C27" s="35">
        <f>B27/MAX(B$2:B27)-1</f>
        <v/>
      </c>
    </row>
    <row r="28">
      <c r="A28" s="33" t="n">
        <v>45693</v>
      </c>
      <c r="B28" s="34" t="n">
        <v>100144.69</v>
      </c>
      <c r="C28" s="35">
        <f>B28/MAX(B$2:B28)-1</f>
        <v/>
      </c>
    </row>
    <row r="29">
      <c r="A29" s="33" t="n">
        <v>45694</v>
      </c>
      <c r="B29" s="34" t="n">
        <v>100215.34</v>
      </c>
      <c r="C29" s="35">
        <f>B29/MAX(B$2:B29)-1</f>
        <v/>
      </c>
    </row>
    <row r="30">
      <c r="A30" s="33" t="n">
        <v>45695</v>
      </c>
      <c r="B30" s="34" t="n">
        <v>100283.49</v>
      </c>
      <c r="C30" s="35">
        <f>B30/MAX(B$2:B30)-1</f>
        <v/>
      </c>
    </row>
    <row r="31">
      <c r="A31" s="33" t="n">
        <v>45698</v>
      </c>
      <c r="B31" s="34" t="n">
        <v>100042.43</v>
      </c>
      <c r="C31" s="35">
        <f>B31/MAX(B$2:B31)-1</f>
        <v/>
      </c>
    </row>
    <row r="32">
      <c r="A32" s="33" t="n">
        <v>45699</v>
      </c>
      <c r="B32" s="34" t="n">
        <v>99794.59</v>
      </c>
      <c r="C32" s="35">
        <f>B32/MAX(B$2:B32)-1</f>
        <v/>
      </c>
    </row>
    <row r="33">
      <c r="A33" s="33" t="n">
        <v>45700</v>
      </c>
      <c r="B33" s="34" t="n">
        <v>99813.25</v>
      </c>
      <c r="C33" s="35">
        <f>B33/MAX(B$2:B33)-1</f>
        <v/>
      </c>
    </row>
    <row r="34">
      <c r="A34" s="33" t="n">
        <v>45701</v>
      </c>
      <c r="B34" s="34" t="n">
        <v>100133.74</v>
      </c>
      <c r="C34" s="35">
        <f>B34/MAX(B$2:B34)-1</f>
        <v/>
      </c>
    </row>
    <row r="35">
      <c r="A35" s="33" t="n">
        <v>45702</v>
      </c>
      <c r="B35" s="34" t="n">
        <v>99697.58</v>
      </c>
      <c r="C35" s="35">
        <f>B35/MAX(B$2:B35)-1</f>
        <v/>
      </c>
    </row>
    <row r="36">
      <c r="A36" s="33" t="n">
        <v>45705</v>
      </c>
      <c r="B36" s="34" t="n">
        <v>99780.24000000001</v>
      </c>
      <c r="C36" s="35">
        <f>B36/MAX(B$2:B36)-1</f>
        <v/>
      </c>
    </row>
    <row r="37">
      <c r="A37" s="33" t="n">
        <v>45706</v>
      </c>
      <c r="B37" s="34" t="n">
        <v>99705.77</v>
      </c>
      <c r="C37" s="35">
        <f>B37/MAX(B$2:B37)-1</f>
        <v/>
      </c>
    </row>
    <row r="38">
      <c r="A38" s="33" t="n">
        <v>45707</v>
      </c>
      <c r="B38" s="34" t="n">
        <v>99333.08</v>
      </c>
      <c r="C38" s="35">
        <f>B38/MAX(B$2:B38)-1</f>
        <v/>
      </c>
    </row>
    <row r="39">
      <c r="A39" s="33" t="n">
        <v>45708</v>
      </c>
      <c r="B39" s="34" t="n">
        <v>99337.32000000001</v>
      </c>
      <c r="C39" s="35">
        <f>B39/MAX(B$2:B39)-1</f>
        <v/>
      </c>
    </row>
    <row r="40">
      <c r="A40" s="33" t="n">
        <v>45709</v>
      </c>
      <c r="B40" s="34" t="n">
        <v>99059.87</v>
      </c>
      <c r="C40" s="35">
        <f>B40/MAX(B$2:B40)-1</f>
        <v/>
      </c>
    </row>
    <row r="41">
      <c r="A41" s="33" t="n">
        <v>45712</v>
      </c>
      <c r="B41" s="34" t="n">
        <v>99139.60000000001</v>
      </c>
      <c r="C41" s="35">
        <f>B41/MAX(B$2:B41)-1</f>
        <v/>
      </c>
    </row>
    <row r="42">
      <c r="A42" s="33" t="n">
        <v>45713</v>
      </c>
      <c r="B42" s="34" t="n">
        <v>98724.14999999999</v>
      </c>
      <c r="C42" s="35">
        <f>B42/MAX(B$2:B42)-1</f>
        <v/>
      </c>
    </row>
    <row r="43">
      <c r="A43" s="33" t="n">
        <v>45715</v>
      </c>
      <c r="B43" s="34" t="n">
        <v>98871.02</v>
      </c>
      <c r="C43" s="35">
        <f>B43/MAX(B$2:B43)-1</f>
        <v/>
      </c>
    </row>
    <row r="44">
      <c r="A44" s="33" t="n">
        <v>45716</v>
      </c>
      <c r="B44" s="34" t="n">
        <v>98521.71000000001</v>
      </c>
      <c r="C44" s="35">
        <f>B44/MAX(B$2:B44)-1</f>
        <v/>
      </c>
    </row>
    <row r="45">
      <c r="A45" s="33" t="n">
        <v>45719</v>
      </c>
      <c r="B45" s="34" t="n">
        <v>98524.03</v>
      </c>
      <c r="C45" s="35">
        <f>B45/MAX(B$2:B45)-1</f>
        <v/>
      </c>
    </row>
    <row r="46">
      <c r="A46" s="33" t="n">
        <v>45720</v>
      </c>
      <c r="B46" s="34" t="n">
        <v>98806.25</v>
      </c>
      <c r="C46" s="35">
        <f>B46/MAX(B$2:B46)-1</f>
        <v/>
      </c>
    </row>
    <row r="47">
      <c r="A47" s="33" t="n">
        <v>45721</v>
      </c>
      <c r="B47" s="34" t="n">
        <v>99410.94</v>
      </c>
      <c r="C47" s="35">
        <f>B47/MAX(B$2:B47)-1</f>
        <v/>
      </c>
    </row>
    <row r="48">
      <c r="A48" s="33" t="n">
        <v>45722</v>
      </c>
      <c r="B48" s="34" t="n">
        <v>99674.38</v>
      </c>
      <c r="C48" s="35">
        <f>B48/MAX(B$2:B48)-1</f>
        <v/>
      </c>
    </row>
    <row r="49">
      <c r="A49" s="33" t="n">
        <v>45723</v>
      </c>
      <c r="B49" s="34" t="n">
        <v>99647.58</v>
      </c>
      <c r="C49" s="35">
        <f>B49/MAX(B$2:B49)-1</f>
        <v/>
      </c>
    </row>
    <row r="50">
      <c r="A50" s="33" t="n">
        <v>45726</v>
      </c>
      <c r="B50" s="34" t="n">
        <v>99483.17999999999</v>
      </c>
      <c r="C50" s="35">
        <f>B50/MAX(B$2:B50)-1</f>
        <v/>
      </c>
    </row>
    <row r="51">
      <c r="A51" s="33" t="n">
        <v>45727</v>
      </c>
      <c r="B51" s="34" t="n">
        <v>99414.3</v>
      </c>
      <c r="C51" s="35">
        <f>B51/MAX(B$2:B51)-1</f>
        <v/>
      </c>
    </row>
    <row r="52">
      <c r="A52" s="33" t="n">
        <v>45728</v>
      </c>
      <c r="B52" s="34" t="n">
        <v>99126.84</v>
      </c>
      <c r="C52" s="35">
        <f>B52/MAX(B$2:B52)-1</f>
        <v/>
      </c>
    </row>
    <row r="53">
      <c r="A53" s="33" t="n">
        <v>45729</v>
      </c>
      <c r="B53" s="34" t="n">
        <v>99162.75999999999</v>
      </c>
      <c r="C53" s="35">
        <f>B53/MAX(B$2:B53)-1</f>
        <v/>
      </c>
    </row>
    <row r="54">
      <c r="A54" s="33" t="n">
        <v>45733</v>
      </c>
      <c r="B54" s="34" t="n">
        <v>99462.48</v>
      </c>
      <c r="C54" s="35">
        <f>B54/MAX(B$2:B54)-1</f>
        <v/>
      </c>
    </row>
    <row r="55">
      <c r="A55" s="33" t="n">
        <v>45734</v>
      </c>
      <c r="B55" s="34" t="n">
        <v>99462.48</v>
      </c>
      <c r="C55" s="35">
        <f>B55/MAX(B$2:B55)-1</f>
        <v/>
      </c>
    </row>
    <row r="56">
      <c r="A56" s="33" t="n">
        <v>45735</v>
      </c>
      <c r="B56" s="34" t="n">
        <v>99620.56</v>
      </c>
      <c r="C56" s="35">
        <f>B56/MAX(B$2:B56)-1</f>
        <v/>
      </c>
    </row>
    <row r="57">
      <c r="A57" s="33" t="n">
        <v>45736</v>
      </c>
      <c r="B57" s="34" t="n">
        <v>100023.27</v>
      </c>
      <c r="C57" s="35">
        <f>B57/MAX(B$2:B57)-1</f>
        <v/>
      </c>
    </row>
    <row r="58">
      <c r="A58" s="33" t="n">
        <v>45737</v>
      </c>
      <c r="B58" s="34" t="n">
        <v>100150</v>
      </c>
      <c r="C58" s="35">
        <f>B58/MAX(B$2:B58)-1</f>
        <v/>
      </c>
    </row>
    <row r="59">
      <c r="A59" s="33" t="n">
        <v>45740</v>
      </c>
      <c r="B59" s="34" t="n">
        <v>100622.26</v>
      </c>
      <c r="C59" s="35">
        <f>B59/MAX(B$2:B59)-1</f>
        <v/>
      </c>
    </row>
    <row r="60">
      <c r="A60" s="33" t="n">
        <v>45741</v>
      </c>
      <c r="B60" s="34" t="n">
        <v>100672.91</v>
      </c>
      <c r="C60" s="35">
        <f>B60/MAX(B$2:B60)-1</f>
        <v/>
      </c>
    </row>
    <row r="61">
      <c r="A61" s="33" t="n">
        <v>45742</v>
      </c>
      <c r="B61" s="34" t="n">
        <v>100412.98</v>
      </c>
      <c r="C61" s="35">
        <f>B61/MAX(B$2:B61)-1</f>
        <v/>
      </c>
    </row>
    <row r="62">
      <c r="A62" s="33" t="n">
        <v>45743</v>
      </c>
      <c r="B62" s="34" t="n">
        <v>100463.37</v>
      </c>
      <c r="C62" s="35">
        <f>B62/MAX(B$2:B62)-1</f>
        <v/>
      </c>
    </row>
    <row r="63">
      <c r="A63" s="33" t="n">
        <v>45744</v>
      </c>
      <c r="B63" s="34" t="n">
        <v>100425.91</v>
      </c>
      <c r="C63" s="35">
        <f>B63/MAX(B$2:B63)-1</f>
        <v/>
      </c>
    </row>
    <row r="64">
      <c r="A64" s="33" t="n">
        <v>45748</v>
      </c>
      <c r="B64" s="34" t="n">
        <v>100272.74</v>
      </c>
      <c r="C64" s="35">
        <f>B64/MAX(B$2:B64)-1</f>
        <v/>
      </c>
    </row>
    <row r="65">
      <c r="A65" s="33" t="n">
        <v>45749</v>
      </c>
      <c r="B65" s="34" t="n">
        <v>100457.74</v>
      </c>
      <c r="C65" s="35">
        <f>B65/MAX(B$2:B65)-1</f>
        <v/>
      </c>
    </row>
    <row r="66">
      <c r="A66" s="33" t="n">
        <v>45750</v>
      </c>
      <c r="B66" s="34" t="n">
        <v>100101.66</v>
      </c>
      <c r="C66" s="35">
        <f>B66/MAX(B$2:B66)-1</f>
        <v/>
      </c>
    </row>
    <row r="67">
      <c r="A67" s="33" t="n">
        <v>45751</v>
      </c>
      <c r="B67" s="34" t="n">
        <v>99771.34</v>
      </c>
      <c r="C67" s="35">
        <f>B67/MAX(B$2:B67)-1</f>
        <v/>
      </c>
    </row>
    <row r="68">
      <c r="A68" s="33" t="n">
        <v>45754</v>
      </c>
      <c r="B68" s="34" t="n">
        <v>99452.42</v>
      </c>
      <c r="C68" s="35">
        <f>B68/MAX(B$2:B68)-1</f>
        <v/>
      </c>
    </row>
    <row r="69">
      <c r="A69" s="33" t="n">
        <v>45755</v>
      </c>
      <c r="B69" s="34" t="n">
        <v>100203.11</v>
      </c>
      <c r="C69" s="35">
        <f>B69/MAX(B$2:B69)-1</f>
        <v/>
      </c>
    </row>
    <row r="70">
      <c r="A70" s="33" t="n">
        <v>45756</v>
      </c>
      <c r="B70" s="34" t="n">
        <v>99397.3</v>
      </c>
      <c r="C70" s="35">
        <f>B70/MAX(B$2:B70)-1</f>
        <v/>
      </c>
    </row>
    <row r="71">
      <c r="A71" s="33" t="n">
        <v>45758</v>
      </c>
      <c r="B71" s="34" t="n">
        <v>100159.51</v>
      </c>
      <c r="C71" s="35">
        <f>B71/MAX(B$2:B71)-1</f>
        <v/>
      </c>
    </row>
    <row r="72">
      <c r="A72" s="33" t="n">
        <v>45762</v>
      </c>
      <c r="B72" s="34" t="n">
        <v>100682.28</v>
      </c>
      <c r="C72" s="35">
        <f>B72/MAX(B$2:B72)-1</f>
        <v/>
      </c>
    </row>
    <row r="73">
      <c r="A73" s="33" t="n">
        <v>45763</v>
      </c>
      <c r="B73" s="34" t="n">
        <v>100749.85</v>
      </c>
      <c r="C73" s="35">
        <f>B73/MAX(B$2:B73)-1</f>
        <v/>
      </c>
    </row>
    <row r="74">
      <c r="A74" s="33" t="n">
        <v>45764</v>
      </c>
      <c r="B74" s="34" t="n">
        <v>100892.65</v>
      </c>
      <c r="C74" s="35">
        <f>B74/MAX(B$2:B74)-1</f>
        <v/>
      </c>
    </row>
    <row r="75">
      <c r="A75" s="33" t="n">
        <v>45768</v>
      </c>
      <c r="B75" s="34" t="n">
        <v>101888.44</v>
      </c>
      <c r="C75" s="35">
        <f>B75/MAX(B$2:B75)-1</f>
        <v/>
      </c>
    </row>
    <row r="76">
      <c r="A76" s="33" t="n">
        <v>45769</v>
      </c>
      <c r="B76" s="34" t="n">
        <v>101700.18</v>
      </c>
      <c r="C76" s="35">
        <f>B76/MAX(B$2:B76)-1</f>
        <v/>
      </c>
    </row>
    <row r="77">
      <c r="A77" s="33" t="n">
        <v>45770</v>
      </c>
      <c r="B77" s="34" t="n">
        <v>102736.04</v>
      </c>
      <c r="C77" s="35">
        <f>B77/MAX(B$2:B77)-1</f>
        <v/>
      </c>
    </row>
    <row r="78">
      <c r="A78" s="33" t="n">
        <v>45771</v>
      </c>
      <c r="B78" s="34" t="n">
        <v>102740.73</v>
      </c>
      <c r="C78" s="35">
        <f>B78/MAX(B$2:B78)-1</f>
        <v/>
      </c>
    </row>
    <row r="79">
      <c r="A79" s="33" t="n">
        <v>45772</v>
      </c>
      <c r="B79" s="34" t="n">
        <v>102984.16</v>
      </c>
      <c r="C79" s="35">
        <f>B79/MAX(B$2:B79)-1</f>
        <v/>
      </c>
    </row>
    <row r="80">
      <c r="A80" s="33" t="n">
        <v>45775</v>
      </c>
      <c r="B80" s="34" t="n">
        <v>102968.04</v>
      </c>
      <c r="C80" s="35">
        <f>B80/MAX(B$2:B80)-1</f>
        <v/>
      </c>
    </row>
    <row r="81">
      <c r="A81" s="33" t="n">
        <v>45776</v>
      </c>
      <c r="B81" s="34" t="n">
        <v>103254.88</v>
      </c>
      <c r="C81" s="35">
        <f>B81/MAX(B$2:B81)-1</f>
        <v/>
      </c>
    </row>
    <row r="82">
      <c r="A82" s="33" t="n">
        <v>45777</v>
      </c>
      <c r="B82" s="34" t="n">
        <v>103254.88</v>
      </c>
      <c r="C82" s="35">
        <f>B82/MAX(B$2:B82)-1</f>
        <v/>
      </c>
    </row>
    <row r="83">
      <c r="A83" s="33" t="n">
        <v>45779</v>
      </c>
      <c r="B83" s="34" t="n">
        <v>103254.88</v>
      </c>
      <c r="C83" s="35">
        <f>B83/MAX(B$2:B83)-1</f>
        <v/>
      </c>
    </row>
    <row r="84">
      <c r="A84" s="33" t="n">
        <v>45782</v>
      </c>
      <c r="B84" s="34" t="n">
        <v>103254.88</v>
      </c>
      <c r="C84" s="35">
        <f>B84/MAX(B$2:B84)-1</f>
        <v/>
      </c>
    </row>
    <row r="85">
      <c r="A85" s="33" t="n">
        <v>45783</v>
      </c>
      <c r="B85" s="34" t="n">
        <v>103254.88</v>
      </c>
      <c r="C85" s="35">
        <f>B85/MAX(B$2:B85)-1</f>
        <v/>
      </c>
    </row>
    <row r="86">
      <c r="A86" s="33" t="n">
        <v>45784</v>
      </c>
      <c r="B86" s="34" t="n">
        <v>103254.88</v>
      </c>
      <c r="C86" s="35">
        <f>B86/MAX(B$2:B86)-1</f>
        <v/>
      </c>
    </row>
    <row r="87">
      <c r="A87" s="33" t="n">
        <v>45785</v>
      </c>
      <c r="B87" s="34" t="n">
        <v>103254.88</v>
      </c>
      <c r="C87" s="35">
        <f>B87/MAX(B$2:B87)-1</f>
        <v/>
      </c>
    </row>
    <row r="88">
      <c r="A88" s="33" t="n">
        <v>45786</v>
      </c>
      <c r="B88" s="34" t="n">
        <v>103254.88</v>
      </c>
      <c r="C88" s="35">
        <f>B88/MAX(B$2:B88)-1</f>
        <v/>
      </c>
    </row>
    <row r="89">
      <c r="A89" s="33" t="n">
        <v>45789</v>
      </c>
      <c r="B89" s="34" t="n">
        <v>103254.88</v>
      </c>
      <c r="C89" s="35">
        <f>B89/MAX(B$2:B89)-1</f>
        <v/>
      </c>
    </row>
    <row r="90">
      <c r="A90" s="33" t="n">
        <v>45790</v>
      </c>
      <c r="B90" s="34" t="n">
        <v>103254.88</v>
      </c>
      <c r="C90" s="35">
        <f>B90/MAX(B$2:B90)-1</f>
        <v/>
      </c>
    </row>
    <row r="91">
      <c r="A91" s="33" t="n">
        <v>45791</v>
      </c>
      <c r="B91" s="34" t="n">
        <v>103254.88</v>
      </c>
      <c r="C91" s="35">
        <f>B91/MAX(B$2:B91)-1</f>
        <v/>
      </c>
    </row>
    <row r="92">
      <c r="A92" s="33" t="n">
        <v>45792</v>
      </c>
      <c r="B92" s="34" t="n">
        <v>103254.88</v>
      </c>
      <c r="C92" s="35">
        <f>B92/MAX(B$2:B92)-1</f>
        <v/>
      </c>
    </row>
    <row r="93">
      <c r="A93" s="33" t="n">
        <v>45793</v>
      </c>
      <c r="B93" s="34" t="n">
        <v>103254.88</v>
      </c>
      <c r="C93" s="35">
        <f>B93/MAX(B$2:B93)-1</f>
        <v/>
      </c>
    </row>
    <row r="94">
      <c r="A94" s="33" t="n">
        <v>45796</v>
      </c>
      <c r="B94" s="34" t="n">
        <v>103254.88</v>
      </c>
      <c r="C94" s="35">
        <f>B94/MAX(B$2:B94)-1</f>
        <v/>
      </c>
    </row>
    <row r="95">
      <c r="A95" s="33" t="n">
        <v>45797</v>
      </c>
      <c r="B95" s="34" t="n">
        <v>103254.88</v>
      </c>
      <c r="C95" s="35">
        <f>B95/MAX(B$2:B95)-1</f>
        <v/>
      </c>
    </row>
    <row r="96">
      <c r="A96" s="33" t="n">
        <v>45798</v>
      </c>
      <c r="B96" s="34" t="n">
        <v>103254.88</v>
      </c>
      <c r="C96" s="35">
        <f>B96/MAX(B$2:B96)-1</f>
        <v/>
      </c>
    </row>
    <row r="97">
      <c r="A97" s="33" t="n">
        <v>45799</v>
      </c>
      <c r="B97" s="34" t="n">
        <v>103254.88</v>
      </c>
      <c r="C97" s="35">
        <f>B97/MAX(B$2:B97)-1</f>
        <v/>
      </c>
    </row>
    <row r="98">
      <c r="A98" s="33" t="n">
        <v>45800</v>
      </c>
      <c r="B98" s="34" t="n">
        <v>103254.88</v>
      </c>
      <c r="C98" s="35">
        <f>B98/MAX(B$2:B98)-1</f>
        <v/>
      </c>
    </row>
    <row r="99">
      <c r="A99" s="33" t="n">
        <v>45803</v>
      </c>
      <c r="B99" s="34" t="n">
        <v>103254.88</v>
      </c>
      <c r="C99" s="35">
        <f>B99/MAX(B$2:B99)-1</f>
        <v/>
      </c>
    </row>
    <row r="100">
      <c r="A100" s="33" t="n">
        <v>45804</v>
      </c>
      <c r="B100" s="34" t="n">
        <v>103254.88</v>
      </c>
      <c r="C100" s="35">
        <f>B100/MAX(B$2:B100)-1</f>
        <v/>
      </c>
    </row>
    <row r="101">
      <c r="A101" s="33" t="n">
        <v>45805</v>
      </c>
      <c r="B101" s="34" t="n">
        <v>103254.88</v>
      </c>
      <c r="C101" s="35">
        <f>B101/MAX(B$2:B101)-1</f>
        <v/>
      </c>
    </row>
    <row r="102">
      <c r="A102" s="33" t="n">
        <v>45806</v>
      </c>
      <c r="B102" s="34" t="n">
        <v>103254.88</v>
      </c>
      <c r="C102" s="35">
        <f>B102/MAX(B$2:B102)-1</f>
        <v/>
      </c>
    </row>
    <row r="103">
      <c r="A103" s="33" t="n">
        <v>45807</v>
      </c>
      <c r="B103" s="34" t="n">
        <v>103254.88</v>
      </c>
      <c r="C103" s="35">
        <f>B103/MAX(B$2:B103)-1</f>
        <v/>
      </c>
    </row>
    <row r="104">
      <c r="A104" s="33" t="n">
        <v>45810</v>
      </c>
      <c r="B104" s="34" t="n">
        <v>103254.88</v>
      </c>
      <c r="C104" s="35">
        <f>B104/MAX(B$2:B104)-1</f>
        <v/>
      </c>
    </row>
    <row r="105">
      <c r="A105" s="33" t="n">
        <v>45811</v>
      </c>
      <c r="B105" s="34" t="n">
        <v>103254.88</v>
      </c>
      <c r="C105" s="35">
        <f>B105/MAX(B$2:B105)-1</f>
        <v/>
      </c>
    </row>
    <row r="106">
      <c r="A106" s="33" t="n">
        <v>45812</v>
      </c>
      <c r="B106" s="34" t="n">
        <v>103254.88</v>
      </c>
      <c r="C106" s="35">
        <f>B106/MAX(B$2:B106)-1</f>
        <v/>
      </c>
    </row>
    <row r="107">
      <c r="A107" s="33" t="n">
        <v>45813</v>
      </c>
      <c r="B107" s="34" t="n">
        <v>103254.88</v>
      </c>
      <c r="C107" s="35">
        <f>B107/MAX(B$2:B107)-1</f>
        <v/>
      </c>
    </row>
    <row r="108">
      <c r="A108" s="33" t="n">
        <v>45814</v>
      </c>
      <c r="B108" s="34" t="n">
        <v>103254.88</v>
      </c>
      <c r="C108" s="35">
        <f>B108/MAX(B$2:B108)-1</f>
        <v/>
      </c>
    </row>
    <row r="109">
      <c r="A109" s="33" t="n">
        <v>45817</v>
      </c>
      <c r="B109" s="34" t="n">
        <v>103254.88</v>
      </c>
      <c r="C109" s="35">
        <f>B109/MAX(B$2:B109)-1</f>
        <v/>
      </c>
    </row>
    <row r="110">
      <c r="A110" s="33" t="n">
        <v>45818</v>
      </c>
      <c r="B110" s="34" t="n">
        <v>103254.88</v>
      </c>
      <c r="C110" s="35">
        <f>B110/MAX(B$2:B110)-1</f>
        <v/>
      </c>
    </row>
    <row r="111">
      <c r="A111" s="33" t="n">
        <v>45819</v>
      </c>
      <c r="B111" s="34" t="n">
        <v>103254.88</v>
      </c>
      <c r="C111" s="35">
        <f>B111/MAX(B$2:B111)-1</f>
        <v/>
      </c>
    </row>
    <row r="112">
      <c r="A112" s="33" t="n">
        <v>45820</v>
      </c>
      <c r="B112" s="34" t="n">
        <v>103254.88</v>
      </c>
      <c r="C112" s="35">
        <f>B112/MAX(B$2:B112)-1</f>
        <v/>
      </c>
    </row>
    <row r="113">
      <c r="A113" s="33" t="n">
        <v>45821</v>
      </c>
      <c r="B113" s="34" t="n">
        <v>103254.88</v>
      </c>
      <c r="C113" s="35">
        <f>B113/MAX(B$2:B113)-1</f>
        <v/>
      </c>
    </row>
    <row r="114">
      <c r="A114" s="33" t="n">
        <v>45824</v>
      </c>
      <c r="B114" s="34" t="n">
        <v>103254.88</v>
      </c>
      <c r="C114" s="35">
        <f>B114/MAX(B$2:B114)-1</f>
        <v/>
      </c>
    </row>
    <row r="115">
      <c r="A115" s="33" t="n">
        <v>45825</v>
      </c>
      <c r="B115" s="34" t="n">
        <v>103254.88</v>
      </c>
      <c r="C115" s="35">
        <f>B115/MAX(B$2:B115)-1</f>
        <v/>
      </c>
    </row>
    <row r="116">
      <c r="A116" s="33" t="n">
        <v>45826</v>
      </c>
      <c r="B116" s="34" t="n">
        <v>103254.88</v>
      </c>
      <c r="C116" s="35">
        <f>B116/MAX(B$2:B116)-1</f>
        <v/>
      </c>
    </row>
    <row r="117">
      <c r="A117" s="33" t="n">
        <v>45827</v>
      </c>
      <c r="B117" s="34" t="n">
        <v>103254.88</v>
      </c>
      <c r="C117" s="35">
        <f>B117/MAX(B$2:B117)-1</f>
        <v/>
      </c>
    </row>
    <row r="118">
      <c r="A118" s="33" t="n">
        <v>45828</v>
      </c>
      <c r="B118" s="34" t="n">
        <v>103254.88</v>
      </c>
      <c r="C118" s="35">
        <f>B118/MAX(B$2:B118)-1</f>
        <v/>
      </c>
    </row>
    <row r="119">
      <c r="A119" s="33" t="n">
        <v>45831</v>
      </c>
      <c r="B119" s="34" t="n">
        <v>103254.88</v>
      </c>
      <c r="C119" s="35">
        <f>B119/MAX(B$2:B119)-1</f>
        <v/>
      </c>
    </row>
    <row r="120">
      <c r="A120" s="33" t="n">
        <v>45832</v>
      </c>
      <c r="B120" s="34" t="n">
        <v>103254.88</v>
      </c>
      <c r="C120" s="35">
        <f>B120/MAX(B$2:B120)-1</f>
        <v/>
      </c>
    </row>
    <row r="121">
      <c r="A121" s="33" t="n">
        <v>45833</v>
      </c>
      <c r="B121" s="34" t="n">
        <v>103254.88</v>
      </c>
      <c r="C121" s="35">
        <f>B121/MAX(B$2:B121)-1</f>
        <v/>
      </c>
    </row>
    <row r="122">
      <c r="A122" s="33" t="n">
        <v>45834</v>
      </c>
      <c r="B122" s="34" t="n">
        <v>103254.88</v>
      </c>
      <c r="C122" s="35">
        <f>B122/MAX(B$2:B122)-1</f>
        <v/>
      </c>
    </row>
    <row r="123">
      <c r="A123" s="33" t="n">
        <v>45835</v>
      </c>
      <c r="B123" s="34" t="n">
        <v>103254.88</v>
      </c>
      <c r="C123" s="35">
        <f>B123/MAX(B$2:B123)-1</f>
        <v/>
      </c>
    </row>
    <row r="124">
      <c r="A124" s="33" t="n">
        <v>45838</v>
      </c>
      <c r="B124" s="34" t="n">
        <v>103254.88</v>
      </c>
      <c r="C124" s="35">
        <f>B124/MAX(B$2:B124)-1</f>
        <v/>
      </c>
    </row>
    <row r="125">
      <c r="A125" s="33" t="n">
        <v>45839</v>
      </c>
      <c r="B125" s="34" t="n">
        <v>103254.88</v>
      </c>
      <c r="C125" s="35">
        <f>B125/MAX(B$2:B125)-1</f>
        <v/>
      </c>
    </row>
    <row r="126">
      <c r="A126" s="33" t="n">
        <v>45840</v>
      </c>
      <c r="B126" s="34" t="n">
        <v>103254.88</v>
      </c>
      <c r="C126" s="35">
        <f>B126/MAX(B$2:B126)-1</f>
        <v/>
      </c>
    </row>
    <row r="127">
      <c r="A127" s="33" t="n">
        <v>45841</v>
      </c>
      <c r="B127" s="34" t="n">
        <v>103254.88</v>
      </c>
      <c r="C127" s="35">
        <f>B127/MAX(B$2:B127)-1</f>
        <v/>
      </c>
    </row>
    <row r="128">
      <c r="A128" s="33" t="n">
        <v>45842</v>
      </c>
      <c r="B128" s="34" t="n">
        <v>103254.88</v>
      </c>
      <c r="C128" s="35">
        <f>B128/MAX(B$2:B128)-1</f>
        <v/>
      </c>
    </row>
    <row r="129">
      <c r="A129" s="33" t="n">
        <v>45845</v>
      </c>
      <c r="B129" s="34" t="n">
        <v>103254.88</v>
      </c>
      <c r="C129" s="35">
        <f>B129/MAX(B$2:B129)-1</f>
        <v/>
      </c>
    </row>
    <row r="130">
      <c r="A130" s="33" t="n">
        <v>45846</v>
      </c>
      <c r="B130" s="34" t="n">
        <v>103254.88</v>
      </c>
      <c r="C130" s="35">
        <f>B130/MAX(B$2:B130)-1</f>
        <v/>
      </c>
    </row>
    <row r="131">
      <c r="A131" s="33" t="n">
        <v>45847</v>
      </c>
      <c r="B131" s="34" t="n">
        <v>103254.88</v>
      </c>
      <c r="C131" s="35">
        <f>B131/MAX(B$2:B131)-1</f>
        <v/>
      </c>
    </row>
    <row r="132">
      <c r="A132" s="33" t="n">
        <v>45848</v>
      </c>
      <c r="B132" s="34" t="n">
        <v>103254.88</v>
      </c>
      <c r="C132" s="35">
        <f>B132/MAX(B$2:B132)-1</f>
        <v/>
      </c>
    </row>
    <row r="133">
      <c r="A133" s="33" t="n">
        <v>45849</v>
      </c>
      <c r="B133" s="34" t="n">
        <v>103254.88</v>
      </c>
      <c r="C133" s="35">
        <f>B133/MAX(B$2:B133)-1</f>
        <v/>
      </c>
    </row>
    <row r="134">
      <c r="A134" s="33" t="n">
        <v>45852</v>
      </c>
      <c r="B134" s="34" t="n">
        <v>103254.88</v>
      </c>
      <c r="C134" s="35">
        <f>B134/MAX(B$2:B134)-1</f>
        <v/>
      </c>
    </row>
    <row r="135">
      <c r="A135" s="33" t="n">
        <v>45853</v>
      </c>
      <c r="B135" s="34" t="n">
        <v>103254.88</v>
      </c>
      <c r="C135" s="35">
        <f>B135/MAX(B$2:B135)-1</f>
        <v/>
      </c>
    </row>
    <row r="136">
      <c r="A136" s="33" t="n">
        <v>45854</v>
      </c>
      <c r="B136" s="34" t="n">
        <v>103254.88</v>
      </c>
      <c r="C136" s="35">
        <f>B136/MAX(B$2:B136)-1</f>
        <v/>
      </c>
    </row>
    <row r="137">
      <c r="A137" s="33" t="n">
        <v>45855</v>
      </c>
      <c r="B137" s="34" t="n">
        <v>103246.09</v>
      </c>
      <c r="C137" s="35">
        <f>B137/MAX(B$2:B137)-1</f>
        <v/>
      </c>
    </row>
    <row r="138">
      <c r="A138" s="33" t="n">
        <v>45856</v>
      </c>
      <c r="B138" s="34" t="n">
        <v>103333.21</v>
      </c>
      <c r="C138" s="35">
        <f>B138/MAX(B$2:B138)-1</f>
        <v/>
      </c>
    </row>
    <row r="139">
      <c r="A139" s="33" t="n">
        <v>45859</v>
      </c>
      <c r="B139" s="34" t="n">
        <v>103221.19</v>
      </c>
      <c r="C139" s="35">
        <f>B139/MAX(B$2:B139)-1</f>
        <v/>
      </c>
    </row>
    <row r="140">
      <c r="A140" s="33" t="n">
        <v>45860</v>
      </c>
      <c r="B140" s="34" t="n">
        <v>103151.71</v>
      </c>
      <c r="C140" s="35">
        <f>B140/MAX(B$2:B140)-1</f>
        <v/>
      </c>
    </row>
    <row r="141">
      <c r="A141" s="33" t="n">
        <v>45861</v>
      </c>
      <c r="B141" s="34" t="n">
        <v>103324.71</v>
      </c>
      <c r="C141" s="35">
        <f>B141/MAX(B$2:B141)-1</f>
        <v/>
      </c>
    </row>
    <row r="142">
      <c r="A142" s="33" t="n">
        <v>45862</v>
      </c>
      <c r="B142" s="34" t="n">
        <v>103018.17</v>
      </c>
      <c r="C142" s="35">
        <f>B142/MAX(B$2:B142)-1</f>
        <v/>
      </c>
    </row>
    <row r="143">
      <c r="A143" s="33" t="n">
        <v>45863</v>
      </c>
      <c r="B143" s="34" t="n">
        <v>102803.94</v>
      </c>
      <c r="C143" s="35">
        <f>B143/MAX(B$2:B143)-1</f>
        <v/>
      </c>
    </row>
    <row r="144">
      <c r="A144" s="33" t="n">
        <v>45866</v>
      </c>
      <c r="B144" s="34" t="n">
        <v>102381.23</v>
      </c>
      <c r="C144" s="35">
        <f>B144/MAX(B$2:B144)-1</f>
        <v/>
      </c>
    </row>
    <row r="145">
      <c r="A145" s="33" t="n">
        <v>45867</v>
      </c>
      <c r="B145" s="34" t="n">
        <v>102287.35</v>
      </c>
      <c r="C145" s="35">
        <f>B145/MAX(B$2:B145)-1</f>
        <v/>
      </c>
    </row>
    <row r="146">
      <c r="A146" s="33" t="n">
        <v>45868</v>
      </c>
      <c r="B146" s="34" t="n">
        <v>102449.27</v>
      </c>
      <c r="C146" s="35">
        <f>B146/MAX(B$2:B146)-1</f>
        <v/>
      </c>
    </row>
    <row r="147">
      <c r="A147" s="33" t="n">
        <v>45869</v>
      </c>
      <c r="B147" s="34" t="n">
        <v>102310.83</v>
      </c>
      <c r="C147" s="35">
        <f>B147/MAX(B$2:B147)-1</f>
        <v/>
      </c>
    </row>
    <row r="148">
      <c r="A148" s="33" t="n">
        <v>45870</v>
      </c>
      <c r="B148" s="34" t="n">
        <v>101900.69</v>
      </c>
      <c r="C148" s="35">
        <f>B148/MAX(B$2:B148)-1</f>
        <v/>
      </c>
    </row>
    <row r="149">
      <c r="A149" s="33" t="n">
        <v>45873</v>
      </c>
      <c r="B149" s="34" t="n">
        <v>102534.54</v>
      </c>
      <c r="C149" s="35">
        <f>B149/MAX(B$2:B149)-1</f>
        <v/>
      </c>
    </row>
    <row r="150">
      <c r="A150" s="33" t="n">
        <v>45874</v>
      </c>
      <c r="B150" s="34" t="n">
        <v>102641.94</v>
      </c>
      <c r="C150" s="35">
        <f>B150/MAX(B$2:B150)-1</f>
        <v/>
      </c>
    </row>
    <row r="151">
      <c r="A151" s="33" t="n">
        <v>45875</v>
      </c>
      <c r="B151" s="34" t="n">
        <v>102252.84</v>
      </c>
      <c r="C151" s="35">
        <f>B151/MAX(B$2:B151)-1</f>
        <v/>
      </c>
    </row>
    <row r="152">
      <c r="A152" s="33" t="n">
        <v>45876</v>
      </c>
      <c r="B152" s="34" t="n">
        <v>102560.2</v>
      </c>
      <c r="C152" s="35">
        <f>B152/MAX(B$2:B152)-1</f>
        <v/>
      </c>
    </row>
    <row r="153">
      <c r="A153" s="33" t="n">
        <v>45877</v>
      </c>
      <c r="B153" s="34" t="n">
        <v>101977.44</v>
      </c>
      <c r="C153" s="35">
        <f>B153/MAX(B$2:B153)-1</f>
        <v/>
      </c>
    </row>
    <row r="154">
      <c r="A154" s="33" t="n">
        <v>45880</v>
      </c>
      <c r="B154" s="34" t="n">
        <v>102657.56</v>
      </c>
      <c r="C154" s="35">
        <f>B154/MAX(B$2:B154)-1</f>
        <v/>
      </c>
    </row>
    <row r="155">
      <c r="A155" s="33" t="n">
        <v>45881</v>
      </c>
      <c r="B155" s="34" t="n">
        <v>102857.97</v>
      </c>
      <c r="C155" s="35">
        <f>B155/MAX(B$2:B155)-1</f>
        <v/>
      </c>
    </row>
    <row r="156">
      <c r="A156" s="33" t="n">
        <v>45882</v>
      </c>
      <c r="B156" s="34" t="n">
        <v>102800.02</v>
      </c>
      <c r="C156" s="35">
        <f>B156/MAX(B$2:B156)-1</f>
        <v/>
      </c>
    </row>
    <row r="157">
      <c r="A157" s="33" t="n">
        <v>45883</v>
      </c>
      <c r="B157" s="34" t="n">
        <v>102730.95</v>
      </c>
      <c r="C157" s="35">
        <f>B157/MAX(B$2:B157)-1</f>
        <v/>
      </c>
    </row>
    <row r="158">
      <c r="A158" s="33" t="n">
        <v>45887</v>
      </c>
      <c r="B158" s="34" t="n">
        <v>102823.87</v>
      </c>
      <c r="C158" s="35">
        <f>B158/MAX(B$2:B158)-1</f>
        <v/>
      </c>
    </row>
    <row r="159">
      <c r="A159" s="33" t="n">
        <v>45888</v>
      </c>
      <c r="B159" s="34" t="n">
        <v>103202.65</v>
      </c>
      <c r="C159" s="35">
        <f>B159/MAX(B$2:B159)-1</f>
        <v/>
      </c>
    </row>
    <row r="160">
      <c r="A160" s="33" t="n">
        <v>45889</v>
      </c>
      <c r="B160" s="34" t="n">
        <v>104081.22</v>
      </c>
      <c r="C160" s="35">
        <f>B160/MAX(B$2:B160)-1</f>
        <v/>
      </c>
    </row>
    <row r="161">
      <c r="A161" s="33" t="n">
        <v>45890</v>
      </c>
      <c r="B161" s="34" t="n">
        <v>104068.06</v>
      </c>
      <c r="C161" s="35">
        <f>B161/MAX(B$2:B161)-1</f>
        <v/>
      </c>
    </row>
    <row r="162">
      <c r="A162" s="33" t="n">
        <v>45891</v>
      </c>
      <c r="B162" s="34" t="n">
        <v>103639.93</v>
      </c>
      <c r="C162" s="35">
        <f>B162/MAX(B$2:B162)-1</f>
        <v/>
      </c>
    </row>
    <row r="163">
      <c r="A163" s="33" t="n">
        <v>45894</v>
      </c>
      <c r="B163" s="34" t="n">
        <v>104389.47</v>
      </c>
      <c r="C163" s="35">
        <f>B163/MAX(B$2:B163)-1</f>
        <v/>
      </c>
    </row>
    <row r="164">
      <c r="A164" s="33" t="n">
        <v>45895</v>
      </c>
      <c r="B164" s="34" t="n">
        <v>104192.89</v>
      </c>
      <c r="C164" s="35">
        <f>B164/MAX(B$2:B164)-1</f>
        <v/>
      </c>
    </row>
    <row r="165">
      <c r="A165" s="33" t="n">
        <v>45897</v>
      </c>
      <c r="B165" s="34" t="n">
        <v>103779.34</v>
      </c>
      <c r="C165" s="35">
        <f>B165/MAX(B$2:B165)-1</f>
        <v/>
      </c>
    </row>
    <row r="166">
      <c r="A166" s="33" t="n">
        <v>45898</v>
      </c>
      <c r="B166" s="34" t="n">
        <v>103721.87</v>
      </c>
      <c r="C166" s="35">
        <f>B166/MAX(B$2:B166)-1</f>
        <v/>
      </c>
    </row>
    <row r="167">
      <c r="A167" s="33" t="n">
        <v>45901</v>
      </c>
      <c r="B167" s="34" t="n">
        <v>104026.88</v>
      </c>
      <c r="C167" s="35">
        <f>B167/MAX(B$2:B167)-1</f>
        <v/>
      </c>
    </row>
    <row r="168">
      <c r="A168" s="33" t="n">
        <v>45902</v>
      </c>
      <c r="B168" s="34" t="n">
        <v>103960.55</v>
      </c>
      <c r="C168" s="35">
        <f>B168/MAX(B$2:B168)-1</f>
        <v/>
      </c>
    </row>
    <row r="169">
      <c r="A169" s="33" t="n">
        <v>45903</v>
      </c>
      <c r="B169" s="34" t="n">
        <v>103909.03</v>
      </c>
      <c r="C169" s="35">
        <f>B169/MAX(B$2:B169)-1</f>
        <v/>
      </c>
    </row>
    <row r="170">
      <c r="A170" s="33" t="n">
        <v>45904</v>
      </c>
      <c r="B170" s="34" t="n">
        <v>103734.3</v>
      </c>
      <c r="C170" s="35">
        <f>B170/MAX(B$2:B170)-1</f>
        <v/>
      </c>
    </row>
    <row r="171">
      <c r="A171" s="33" t="n">
        <v>45905</v>
      </c>
      <c r="B171" s="34" t="n">
        <v>103507.75</v>
      </c>
      <c r="C171" s="35">
        <f>B171/MAX(B$2:B171)-1</f>
        <v/>
      </c>
    </row>
    <row r="172">
      <c r="A172" s="33" t="n">
        <v>45908</v>
      </c>
      <c r="B172" s="34" t="n">
        <v>103327.92</v>
      </c>
      <c r="C172" s="35">
        <f>B172/MAX(B$2:B172)-1</f>
        <v/>
      </c>
    </row>
    <row r="173">
      <c r="A173" s="33" t="n">
        <v>45909</v>
      </c>
      <c r="B173" s="34" t="n">
        <v>103524.14</v>
      </c>
      <c r="C173" s="35">
        <f>B173/MAX(B$2:B173)-1</f>
        <v/>
      </c>
    </row>
    <row r="174">
      <c r="A174" s="33" t="n">
        <v>45910</v>
      </c>
      <c r="B174" s="34" t="n">
        <v>104070.9</v>
      </c>
      <c r="C174" s="35">
        <f>B174/MAX(B$2:B174)-1</f>
        <v/>
      </c>
    </row>
    <row r="175">
      <c r="A175" s="33" t="n">
        <v>45911</v>
      </c>
      <c r="B175" s="34" t="n">
        <v>104289.2</v>
      </c>
      <c r="C175" s="35">
        <f>B175/MAX(B$2:B175)-1</f>
        <v/>
      </c>
    </row>
    <row r="176">
      <c r="A176" s="33" t="n">
        <v>45912</v>
      </c>
      <c r="B176" s="34" t="n">
        <v>104463.86</v>
      </c>
      <c r="C176" s="35">
        <f>B176/MAX(B$2:B176)-1</f>
        <v/>
      </c>
    </row>
    <row r="177">
      <c r="A177" s="33" t="n">
        <v>45915</v>
      </c>
      <c r="B177" s="34" t="n">
        <v>104397.92</v>
      </c>
      <c r="C177" s="35">
        <f>B177/MAX(B$2:B177)-1</f>
        <v/>
      </c>
    </row>
    <row r="178">
      <c r="A178" s="33" t="n">
        <v>45916</v>
      </c>
      <c r="B178" s="34" t="n">
        <v>104590.56</v>
      </c>
      <c r="C178" s="35">
        <f>B178/MAX(B$2:B178)-1</f>
        <v/>
      </c>
    </row>
    <row r="179">
      <c r="A179" s="33" t="n">
        <v>45917</v>
      </c>
      <c r="B179" s="34" t="n">
        <v>104659.44</v>
      </c>
      <c r="C179" s="35">
        <f>B179/MAX(B$2:B179)-1</f>
        <v/>
      </c>
    </row>
    <row r="180">
      <c r="A180" s="33" t="n">
        <v>45918</v>
      </c>
      <c r="B180" s="34" t="n">
        <v>104741.27</v>
      </c>
      <c r="C180" s="35">
        <f>B180/MAX(B$2:B180)-1</f>
        <v/>
      </c>
    </row>
    <row r="181">
      <c r="A181" s="33" t="n">
        <v>45919</v>
      </c>
      <c r="B181" s="34" t="n">
        <v>104568.13</v>
      </c>
      <c r="C181" s="35">
        <f>B181/MAX(B$2:B181)-1</f>
        <v/>
      </c>
    </row>
    <row r="182">
      <c r="A182" s="33" t="n">
        <v>45922</v>
      </c>
      <c r="B182" s="34" t="n">
        <v>104135.49</v>
      </c>
      <c r="C182" s="35">
        <f>B182/MAX(B$2:B182)-1</f>
        <v/>
      </c>
    </row>
    <row r="183">
      <c r="A183" s="33" t="n">
        <v>45923</v>
      </c>
      <c r="B183" s="34" t="n">
        <v>104044.68</v>
      </c>
      <c r="C183" s="35">
        <f>B183/MAX(B$2:B183)-1</f>
        <v/>
      </c>
    </row>
    <row r="184">
      <c r="A184" s="33" t="n">
        <v>45924</v>
      </c>
      <c r="B184" s="34" t="n">
        <v>104038.65</v>
      </c>
      <c r="C184" s="35">
        <f>B184/MAX(B$2:B184)-1</f>
        <v/>
      </c>
    </row>
    <row r="185">
      <c r="A185" s="33" t="n">
        <v>45925</v>
      </c>
      <c r="B185" s="34" t="n">
        <v>103698.32</v>
      </c>
      <c r="C185" s="35">
        <f>B185/MAX(B$2:B185)-1</f>
        <v/>
      </c>
    </row>
    <row r="186">
      <c r="A186" s="33" t="n">
        <v>45926</v>
      </c>
      <c r="B186" s="34" t="n">
        <v>103230.04</v>
      </c>
      <c r="C186" s="35">
        <f>B186/MAX(B$2:B186)-1</f>
        <v/>
      </c>
    </row>
    <row r="187">
      <c r="A187" s="33" t="n">
        <v>45929</v>
      </c>
      <c r="B187" s="34" t="n">
        <v>103490.51</v>
      </c>
      <c r="C187" s="35">
        <f>B187/MAX(B$2:B187)-1</f>
        <v/>
      </c>
    </row>
    <row r="188">
      <c r="A188" s="33" t="n">
        <v>45930</v>
      </c>
      <c r="B188" s="34" t="n">
        <v>103246.33</v>
      </c>
      <c r="C188" s="35">
        <f>B188/MAX(B$2:B188)-1</f>
        <v/>
      </c>
    </row>
    <row r="189">
      <c r="A189" s="33" t="n">
        <v>45931</v>
      </c>
      <c r="B189" s="34" t="n">
        <v>103944.54</v>
      </c>
      <c r="C189" s="35">
        <f>B189/MAX(B$2:B189)-1</f>
        <v/>
      </c>
    </row>
    <row r="190">
      <c r="A190" s="33" t="n">
        <v>45933</v>
      </c>
      <c r="B190" s="34" t="n">
        <v>103986.87</v>
      </c>
      <c r="C190" s="35">
        <f>B190/MAX(B$2:B190)-1</f>
        <v/>
      </c>
    </row>
    <row r="191">
      <c r="A191" s="33" t="n">
        <v>45936</v>
      </c>
      <c r="B191" s="34" t="n">
        <v>104202.33</v>
      </c>
      <c r="C191" s="35">
        <f>B191/MAX(B$2:B191)-1</f>
        <v/>
      </c>
    </row>
    <row r="192">
      <c r="A192" s="33" t="n">
        <v>45937</v>
      </c>
      <c r="B192" s="34" t="n">
        <v>104133.02</v>
      </c>
      <c r="C192" s="35">
        <f>B192/MAX(B$2:B192)-1</f>
        <v/>
      </c>
    </row>
    <row r="193">
      <c r="A193" s="33" t="n">
        <v>45938</v>
      </c>
      <c r="B193" s="34" t="n">
        <v>104653.4</v>
      </c>
      <c r="C193" s="35">
        <f>B193/MAX(B$2:B193)-1</f>
        <v/>
      </c>
    </row>
    <row r="194">
      <c r="A194" s="33" t="n">
        <v>45939</v>
      </c>
      <c r="B194" s="34" t="n">
        <v>105064.8</v>
      </c>
      <c r="C194" s="35">
        <f>B194/MAX(B$2:B194)-1</f>
        <v/>
      </c>
    </row>
    <row r="195">
      <c r="A195" s="33" t="n">
        <v>45940</v>
      </c>
      <c r="B195" s="34" t="n">
        <v>105057.37</v>
      </c>
      <c r="C195" s="35">
        <f>B195/MAX(B$2:B195)-1</f>
        <v/>
      </c>
    </row>
    <row r="196">
      <c r="A196" s="33" t="n">
        <v>45943</v>
      </c>
      <c r="B196" s="34" t="n">
        <v>104971.37</v>
      </c>
      <c r="C196" s="35">
        <f>B196/MAX(B$2:B196)-1</f>
        <v/>
      </c>
    </row>
    <row r="197">
      <c r="A197" s="33" t="n">
        <v>45944</v>
      </c>
      <c r="B197" s="34" t="n">
        <v>104730.49</v>
      </c>
      <c r="C197" s="35">
        <f>B197/MAX(B$2:B197)-1</f>
        <v/>
      </c>
    </row>
    <row r="198">
      <c r="A198" s="33" t="n">
        <v>45945</v>
      </c>
      <c r="B198" s="34" t="n">
        <v>104988.65</v>
      </c>
      <c r="C198" s="35">
        <f>B198/MAX(B$2:B198)-1</f>
        <v/>
      </c>
    </row>
    <row r="199">
      <c r="A199" s="33" t="n">
        <v>45946</v>
      </c>
      <c r="B199" s="34" t="n">
        <v>105398.33</v>
      </c>
      <c r="C199" s="35">
        <f>B199/MAX(B$2:B199)-1</f>
        <v/>
      </c>
    </row>
    <row r="200">
      <c r="A200" s="33" t="n">
        <v>45947</v>
      </c>
      <c r="B200" s="34" t="n">
        <v>105410.74</v>
      </c>
      <c r="C200" s="35">
        <f>B200/MAX(B$2:B200)-1</f>
        <v/>
      </c>
    </row>
    <row r="201">
      <c r="A201" s="33" t="n">
        <v>45950</v>
      </c>
      <c r="B201" s="34" t="n">
        <v>105617.91</v>
      </c>
      <c r="C201" s="35">
        <f>B201/MAX(B$2:B201)-1</f>
        <v/>
      </c>
    </row>
    <row r="202">
      <c r="A202" s="33" t="n">
        <v>45951</v>
      </c>
      <c r="B202" s="34" t="n">
        <v>105623.04</v>
      </c>
      <c r="C202" s="35">
        <f>B202/MAX(B$2:B202)-1</f>
        <v/>
      </c>
    </row>
    <row r="203">
      <c r="A203" s="33" t="n">
        <v>45953</v>
      </c>
      <c r="B203" s="34" t="n">
        <v>105898.9</v>
      </c>
      <c r="C203" s="35">
        <f>B203/MAX(B$2:B203)-1</f>
        <v/>
      </c>
    </row>
    <row r="204">
      <c r="A204" s="33" t="n">
        <v>45954</v>
      </c>
      <c r="B204" s="34" t="n">
        <v>105819.34</v>
      </c>
      <c r="C204" s="35">
        <f>B204/MAX(B$2:B204)-1</f>
        <v/>
      </c>
    </row>
    <row r="205">
      <c r="A205" s="33" t="n">
        <v>45957</v>
      </c>
      <c r="B205" s="34" t="n">
        <v>106067.62</v>
      </c>
      <c r="C205" s="35">
        <f>B205/MAX(B$2:B205)-1</f>
        <v/>
      </c>
    </row>
    <row r="206">
      <c r="A206" s="33" t="n">
        <v>45958</v>
      </c>
      <c r="B206" s="34" t="n">
        <v>105879.12</v>
      </c>
      <c r="C206" s="35">
        <f>B206/MAX(B$2:B206)-1</f>
        <v/>
      </c>
    </row>
    <row r="207">
      <c r="A207" s="33" t="n">
        <v>45959</v>
      </c>
      <c r="B207" s="34" t="n">
        <v>105984.77</v>
      </c>
      <c r="C207" s="35">
        <f>B207/MAX(B$2:B207)-1</f>
        <v/>
      </c>
    </row>
    <row r="208">
      <c r="A208" s="33" t="n">
        <v>45960</v>
      </c>
      <c r="B208" s="34" t="n">
        <v>105875.48</v>
      </c>
      <c r="C208" s="35">
        <f>B208/MAX(B$2:B208)-1</f>
        <v/>
      </c>
    </row>
    <row r="209">
      <c r="A209" s="33" t="n">
        <v>45961</v>
      </c>
      <c r="B209" s="34" t="n">
        <v>105780.11</v>
      </c>
      <c r="C209" s="35">
        <f>B209/MAX(B$2:B209)-1</f>
        <v/>
      </c>
    </row>
    <row r="210">
      <c r="A210" s="33" t="n">
        <v>45964</v>
      </c>
      <c r="B210" s="34" t="n">
        <v>105862.36</v>
      </c>
      <c r="C210" s="35">
        <f>B210/MAX(B$2:B210)-1</f>
        <v/>
      </c>
    </row>
    <row r="211">
      <c r="A211" s="33" t="n">
        <v>45965</v>
      </c>
      <c r="B211" s="34" t="n">
        <v>105670.33</v>
      </c>
      <c r="C211" s="35">
        <f>B211/MAX(B$2:B211)-1</f>
        <v/>
      </c>
    </row>
    <row r="212">
      <c r="A212" s="33" t="n">
        <v>45967</v>
      </c>
      <c r="B212" s="34" t="n">
        <v>105799.46</v>
      </c>
      <c r="C212" s="35">
        <f>B212/MAX(B$2:B212)-1</f>
        <v/>
      </c>
    </row>
    <row r="213">
      <c r="A213" s="33" t="n">
        <v>45968</v>
      </c>
      <c r="B213" s="34" t="n">
        <v>105589.42</v>
      </c>
      <c r="C213" s="35">
        <f>B213/MAX(B$2:B213)-1</f>
        <v/>
      </c>
    </row>
    <row r="214">
      <c r="A214" s="33" t="n">
        <v>45971</v>
      </c>
      <c r="B214" s="34" t="n">
        <v>105112.86</v>
      </c>
      <c r="C214" s="35">
        <f>B214/MAX(B$2:B214)-1</f>
        <v/>
      </c>
    </row>
    <row r="215">
      <c r="A215" s="33" t="n">
        <v>45972</v>
      </c>
      <c r="B215" s="34" t="n">
        <v>105172.15</v>
      </c>
      <c r="C215" s="35">
        <f>B215/MAX(B$2:B215)-1</f>
        <v/>
      </c>
    </row>
    <row r="216">
      <c r="A216" s="33" t="n">
        <v>45973</v>
      </c>
      <c r="B216" s="34" t="n">
        <v>105398.37</v>
      </c>
      <c r="C216" s="35">
        <f>B216/MAX(B$2:B216)-1</f>
        <v/>
      </c>
    </row>
    <row r="217">
      <c r="A217" s="33" t="n">
        <v>45974</v>
      </c>
      <c r="B217" s="34" t="n">
        <v>105199.74</v>
      </c>
      <c r="C217" s="35">
        <f>B217/MAX(B$2:B217)-1</f>
        <v/>
      </c>
    </row>
    <row r="218">
      <c r="A218" s="33" t="n">
        <v>45975</v>
      </c>
      <c r="B218" s="34" t="n">
        <v>105168.49</v>
      </c>
      <c r="C218" s="35">
        <f>B218/MAX(B$2:B218)-1</f>
        <v/>
      </c>
    </row>
    <row r="219">
      <c r="A219" s="33" t="n">
        <v>45978</v>
      </c>
      <c r="B219" s="34" t="n">
        <v>104754.9</v>
      </c>
      <c r="C219" s="35">
        <f>B219/MAX(B$2:B219)-1</f>
        <v/>
      </c>
    </row>
    <row r="220">
      <c r="A220" s="33" t="n">
        <v>45979</v>
      </c>
      <c r="B220" s="34" t="n">
        <v>104660.46</v>
      </c>
      <c r="C220" s="35">
        <f>B220/MAX(B$2:B220)-1</f>
        <v/>
      </c>
    </row>
    <row r="221">
      <c r="A221" s="33" t="n">
        <v>45980</v>
      </c>
      <c r="B221" s="34" t="n">
        <v>104372.98</v>
      </c>
      <c r="C221" s="35">
        <f>B221/MAX(B$2:B221)-1</f>
        <v/>
      </c>
    </row>
    <row r="222">
      <c r="A222" s="33" t="n">
        <v>45981</v>
      </c>
      <c r="B222" s="34" t="n">
        <v>104422.9</v>
      </c>
      <c r="C222" s="35">
        <f>B222/MAX(B$2:B222)-1</f>
        <v/>
      </c>
    </row>
    <row r="223">
      <c r="A223" s="33" t="n">
        <v>45982</v>
      </c>
      <c r="B223" s="34" t="n">
        <v>104431.43</v>
      </c>
      <c r="C223" s="35">
        <f>B223/MAX(B$2:B223)-1</f>
        <v/>
      </c>
    </row>
    <row r="224">
      <c r="A224" s="33" t="n">
        <v>45985</v>
      </c>
      <c r="B224" s="34" t="n">
        <v>104225.48</v>
      </c>
      <c r="C224" s="35">
        <f>B224/MAX(B$2:B224)-1</f>
        <v/>
      </c>
    </row>
    <row r="225">
      <c r="A225" s="33" t="n">
        <v>45986</v>
      </c>
      <c r="B225" s="34" t="n">
        <v>103920.75</v>
      </c>
      <c r="C225" s="35">
        <f>B225/MAX(B$2:B225)-1</f>
        <v/>
      </c>
    </row>
    <row r="226">
      <c r="A226" s="33" t="n">
        <v>45987</v>
      </c>
      <c r="B226" s="34" t="n">
        <v>104109.58</v>
      </c>
      <c r="C226" s="35">
        <f>B226/MAX(B$2:B226)-1</f>
        <v/>
      </c>
    </row>
    <row r="227">
      <c r="A227" s="33" t="n">
        <v>45988</v>
      </c>
      <c r="B227" s="34" t="n">
        <v>104069.32</v>
      </c>
      <c r="C227" s="35">
        <f>B227/MAX(B$2:B227)-1</f>
        <v/>
      </c>
    </row>
    <row r="228">
      <c r="A228" s="33" t="n">
        <v>45989</v>
      </c>
      <c r="B228" s="34" t="n">
        <v>104041.55</v>
      </c>
      <c r="C228" s="35">
        <f>B228/MAX(B$2:B228)-1</f>
        <v/>
      </c>
    </row>
    <row r="229">
      <c r="A229" s="33" t="n">
        <v>45992</v>
      </c>
      <c r="B229" s="34" t="n">
        <v>104235.93</v>
      </c>
      <c r="C229" s="35">
        <f>B229/MAX(B$2:B229)-1</f>
        <v/>
      </c>
    </row>
    <row r="230">
      <c r="A230" s="33" t="n">
        <v>45993</v>
      </c>
      <c r="B230" s="34" t="n">
        <v>104179.01</v>
      </c>
      <c r="C230" s="35">
        <f>B230/MAX(B$2:B230)-1</f>
        <v/>
      </c>
    </row>
    <row r="231">
      <c r="A231" s="33" t="n">
        <v>45994</v>
      </c>
      <c r="B231" s="34" t="n">
        <v>104042.94</v>
      </c>
      <c r="C231" s="35">
        <f>B231/MAX(B$2:B231)-1</f>
        <v/>
      </c>
    </row>
    <row r="232">
      <c r="A232" s="33" t="n">
        <v>45995</v>
      </c>
      <c r="B232" s="34" t="n">
        <v>104031.83</v>
      </c>
      <c r="C232" s="35">
        <f>B232/MAX(B$2:B232)-1</f>
        <v/>
      </c>
    </row>
    <row r="233">
      <c r="A233" s="33" t="n">
        <v>45996</v>
      </c>
      <c r="B233" s="34" t="n">
        <v>103952.69</v>
      </c>
      <c r="C233" s="35">
        <f>B233/MAX(B$2:B233)-1</f>
        <v/>
      </c>
    </row>
    <row r="234">
      <c r="A234" s="33" t="n">
        <v>45999</v>
      </c>
      <c r="B234" s="34" t="n">
        <v>103795.66</v>
      </c>
      <c r="C234" s="35">
        <f>B234/MAX(B$2:B234)-1</f>
        <v/>
      </c>
    </row>
    <row r="235">
      <c r="A235" s="33" t="n">
        <v>46000</v>
      </c>
      <c r="B235" s="34" t="n">
        <v>103783.69</v>
      </c>
      <c r="C235" s="35">
        <f>B235/MAX(B$2:B235)-1</f>
        <v/>
      </c>
    </row>
    <row r="236">
      <c r="A236" s="33" t="n">
        <v>46001</v>
      </c>
      <c r="B236" s="34" t="n">
        <v>103408.56</v>
      </c>
      <c r="C236" s="35">
        <f>B236/MAX(B$2:B236)-1</f>
        <v/>
      </c>
    </row>
    <row r="237">
      <c r="A237" s="33" t="n">
        <v>46002</v>
      </c>
      <c r="B237" s="34" t="n">
        <v>103575.15</v>
      </c>
      <c r="C237" s="35">
        <f>B237/MAX(B$2:B237)-1</f>
        <v/>
      </c>
    </row>
    <row r="238">
      <c r="A238" s="33" t="n">
        <v>46003</v>
      </c>
      <c r="B238" s="34" t="n">
        <v>103827.35</v>
      </c>
      <c r="C238" s="35">
        <f>B238/MAX(B$2:B238)-1</f>
        <v/>
      </c>
    </row>
    <row r="239">
      <c r="A239" s="33" t="n">
        <v>46006</v>
      </c>
      <c r="B239" s="34" t="n">
        <v>104081.66</v>
      </c>
      <c r="C239" s="35">
        <f>B239/MAX(B$2:B239)-1</f>
        <v/>
      </c>
    </row>
    <row r="240">
      <c r="A240" s="33" t="n">
        <v>46007</v>
      </c>
      <c r="B240" s="34" t="n">
        <v>104015.94</v>
      </c>
      <c r="C240" s="35">
        <f>B240/MAX(B$2:B240)-1</f>
        <v/>
      </c>
    </row>
    <row r="241">
      <c r="A241" s="33" t="n">
        <v>46008</v>
      </c>
      <c r="B241" s="34" t="n">
        <v>103797.44</v>
      </c>
      <c r="C241" s="35">
        <f>B241/MAX(B$2:B241)-1</f>
        <v/>
      </c>
    </row>
    <row r="242">
      <c r="A242" s="33" t="n">
        <v>46009</v>
      </c>
      <c r="B242" s="34" t="n">
        <v>104018.82</v>
      </c>
      <c r="C242" s="35">
        <f>B242/MAX(B$2:B242)-1</f>
        <v/>
      </c>
    </row>
    <row r="243">
      <c r="A243" s="33" t="n">
        <v>46010</v>
      </c>
      <c r="B243" s="34" t="n">
        <v>104443.12</v>
      </c>
      <c r="C243" s="35">
        <f>B243/MAX(B$2:B243)-1</f>
        <v/>
      </c>
    </row>
    <row r="244">
      <c r="A244" s="33" t="n">
        <v>46013</v>
      </c>
      <c r="B244" s="34" t="n">
        <v>104937.79</v>
      </c>
      <c r="C244" s="35">
        <f>B244/MAX(B$2:B244)-1</f>
        <v/>
      </c>
    </row>
    <row r="245">
      <c r="A245" s="33" t="n">
        <v>46014</v>
      </c>
      <c r="B245" s="34" t="n">
        <v>105059.35</v>
      </c>
      <c r="C245" s="35">
        <f>B245/MAX(B$2:B245)-1</f>
        <v/>
      </c>
    </row>
    <row r="246">
      <c r="A246" s="33" t="n">
        <v>46015</v>
      </c>
      <c r="B246" s="34" t="n">
        <v>105085.67</v>
      </c>
      <c r="C246" s="35">
        <f>B246/MAX(B$2:B246)-1</f>
        <v/>
      </c>
    </row>
    <row r="247">
      <c r="A247" s="33" t="n">
        <v>46017</v>
      </c>
      <c r="B247" s="34" t="n">
        <v>105043.6</v>
      </c>
      <c r="C247" s="35">
        <f>B247/MAX(B$2:B247)-1</f>
        <v/>
      </c>
    </row>
    <row r="248">
      <c r="A248" s="33" t="n">
        <v>46020</v>
      </c>
      <c r="B248" s="34" t="n">
        <v>104989.73</v>
      </c>
      <c r="C248" s="35">
        <f>B248/MAX(B$2:B248)-1</f>
        <v/>
      </c>
    </row>
    <row r="249">
      <c r="A249" s="33" t="n">
        <v>46021</v>
      </c>
      <c r="B249" s="34" t="n">
        <v>104847.94</v>
      </c>
      <c r="C249" s="35">
        <f>B249/MAX(B$2:B249)-1</f>
        <v/>
      </c>
    </row>
    <row r="250">
      <c r="A250" s="33" t="n">
        <v>46022</v>
      </c>
      <c r="B250" s="34" t="n">
        <v>105138.82</v>
      </c>
      <c r="C250" s="35">
        <f>B250/MAX(B$2:B250)-1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A78D6"/>
    <outlinePr summaryBelow="1" summaryRight="1"/>
    <pageSetUpPr/>
  </sheetPr>
  <dimension ref="A1:C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</cols>
  <sheetData>
    <row r="1" ht="22" customHeight="1">
      <c r="A1" s="15" t="inlineStr">
        <is>
          <t>Date</t>
        </is>
      </c>
      <c r="B1" s="15" t="inlineStr">
        <is>
          <t>Strategy Equity</t>
        </is>
      </c>
      <c r="C1" s="15" t="inlineStr">
        <is>
          <t>Benchmark Equity</t>
        </is>
      </c>
    </row>
    <row r="2">
      <c r="A2" s="33" t="n">
        <v>45658</v>
      </c>
      <c r="B2" s="34" t="n">
        <v>100000</v>
      </c>
      <c r="C2" s="34" t="n">
        <v>100000</v>
      </c>
    </row>
    <row r="3">
      <c r="A3" s="33" t="n">
        <v>45659</v>
      </c>
      <c r="B3" s="34" t="n">
        <v>100000</v>
      </c>
      <c r="C3" s="34" t="n">
        <v>101619.0437779427</v>
      </c>
    </row>
    <row r="4">
      <c r="A4" s="33" t="n">
        <v>45660</v>
      </c>
      <c r="B4" s="34" t="n">
        <v>100000</v>
      </c>
      <c r="C4" s="34" t="n">
        <v>101061.7897372275</v>
      </c>
    </row>
    <row r="5">
      <c r="A5" s="33" t="n">
        <v>45663</v>
      </c>
      <c r="B5" s="34" t="n">
        <v>100000</v>
      </c>
      <c r="C5" s="34" t="n">
        <v>99582.06808732722</v>
      </c>
    </row>
    <row r="6">
      <c r="A6" s="33" t="n">
        <v>45664</v>
      </c>
      <c r="B6" s="34" t="n">
        <v>100000</v>
      </c>
      <c r="C6" s="34" t="n">
        <v>99838.09906935116</v>
      </c>
    </row>
    <row r="7">
      <c r="A7" s="33" t="n">
        <v>45665</v>
      </c>
      <c r="B7" s="34" t="n">
        <v>100000</v>
      </c>
      <c r="C7" s="34" t="n">
        <v>99747.7378969862</v>
      </c>
    </row>
    <row r="8">
      <c r="A8" s="33" t="n">
        <v>45666</v>
      </c>
      <c r="B8" s="34" t="n">
        <v>100000</v>
      </c>
      <c r="C8" s="34" t="n">
        <v>99081.28977934018</v>
      </c>
    </row>
    <row r="9">
      <c r="A9" s="33" t="n">
        <v>45667</v>
      </c>
      <c r="B9" s="34" t="n">
        <v>100000</v>
      </c>
      <c r="C9" s="34" t="n">
        <v>98731.12874594114</v>
      </c>
    </row>
    <row r="10">
      <c r="A10" s="33" t="n">
        <v>45670</v>
      </c>
      <c r="B10" s="34" t="n">
        <v>100000</v>
      </c>
      <c r="C10" s="34" t="n">
        <v>97292.81880321316</v>
      </c>
    </row>
    <row r="11">
      <c r="A11" s="33" t="n">
        <v>45671</v>
      </c>
      <c r="B11" s="34" t="n">
        <v>100000</v>
      </c>
      <c r="C11" s="34" t="n">
        <v>97616.6321549956</v>
      </c>
    </row>
    <row r="12">
      <c r="A12" s="33" t="n">
        <v>45672</v>
      </c>
      <c r="B12" s="34" t="n">
        <v>100000</v>
      </c>
      <c r="C12" s="34" t="n">
        <v>97737.1098879873</v>
      </c>
    </row>
    <row r="13">
      <c r="A13" s="33" t="n">
        <v>45673</v>
      </c>
      <c r="B13" s="34" t="n">
        <v>100000</v>
      </c>
      <c r="C13" s="34" t="n">
        <v>98166.34843769048</v>
      </c>
    </row>
    <row r="14">
      <c r="A14" s="33" t="n">
        <v>45674</v>
      </c>
      <c r="B14" s="34" t="n">
        <v>100000</v>
      </c>
      <c r="C14" s="34" t="n">
        <v>97808.64964627118</v>
      </c>
    </row>
    <row r="15">
      <c r="A15" s="33" t="n">
        <v>45677</v>
      </c>
      <c r="B15" s="34" t="n">
        <v>100000</v>
      </c>
      <c r="C15" s="34" t="n">
        <v>98380.96771254207</v>
      </c>
    </row>
    <row r="16">
      <c r="A16" s="33" t="n">
        <v>45678</v>
      </c>
      <c r="B16" s="34" t="n">
        <v>99973.5</v>
      </c>
      <c r="C16" s="34" t="n">
        <v>97108.32757947307</v>
      </c>
    </row>
    <row r="17">
      <c r="A17" s="33" t="n">
        <v>45679</v>
      </c>
      <c r="B17" s="34" t="n">
        <v>100257.04</v>
      </c>
      <c r="C17" s="34" t="n">
        <v>97462.25749188226</v>
      </c>
    </row>
    <row r="18">
      <c r="A18" s="33" t="n">
        <v>45680</v>
      </c>
      <c r="B18" s="34" t="n">
        <v>100410.24</v>
      </c>
      <c r="C18" s="34" t="n">
        <v>97710.76220637071</v>
      </c>
    </row>
    <row r="19">
      <c r="A19" s="33" t="n">
        <v>45681</v>
      </c>
      <c r="B19" s="34" t="n">
        <v>99976.67999999999</v>
      </c>
      <c r="C19" s="34" t="n">
        <v>97213.75277739381</v>
      </c>
    </row>
    <row r="20">
      <c r="A20" s="33" t="n">
        <v>45684</v>
      </c>
      <c r="B20" s="34" t="n">
        <v>99390.64999999999</v>
      </c>
      <c r="C20" s="34" t="n">
        <v>96272.45226364274</v>
      </c>
    </row>
    <row r="21">
      <c r="A21" s="33" t="n">
        <v>45685</v>
      </c>
      <c r="B21" s="34" t="n">
        <v>99056.36</v>
      </c>
      <c r="C21" s="34" t="n">
        <v>96889.93942561134</v>
      </c>
    </row>
    <row r="22">
      <c r="A22" s="33" t="n">
        <v>45686</v>
      </c>
      <c r="B22" s="34" t="n">
        <v>99412.37</v>
      </c>
      <c r="C22" s="34" t="n">
        <v>97661.81274117809</v>
      </c>
    </row>
    <row r="23">
      <c r="A23" s="33" t="n">
        <v>45687</v>
      </c>
      <c r="B23" s="34" t="n">
        <v>99385.92999999999</v>
      </c>
      <c r="C23" s="34" t="n">
        <v>97978.08833494029</v>
      </c>
    </row>
    <row r="24">
      <c r="A24" s="33" t="n">
        <v>45688</v>
      </c>
      <c r="B24" s="34" t="n">
        <v>99883.64</v>
      </c>
      <c r="C24" s="34" t="n">
        <v>99024.81404661208</v>
      </c>
    </row>
    <row r="25">
      <c r="A25" s="33" t="n">
        <v>45689</v>
      </c>
      <c r="B25" s="34" t="n">
        <v>99771.10000000001</v>
      </c>
      <c r="C25" s="34" t="n">
        <v>98697.24330630426</v>
      </c>
    </row>
    <row r="26">
      <c r="A26" s="33" t="n">
        <v>45691</v>
      </c>
      <c r="B26" s="34" t="n">
        <v>99431.60000000001</v>
      </c>
      <c r="C26" s="34" t="n">
        <v>98448.73859181581</v>
      </c>
    </row>
    <row r="27">
      <c r="A27" s="33" t="n">
        <v>45692</v>
      </c>
      <c r="B27" s="34" t="n">
        <v>100146.02</v>
      </c>
      <c r="C27" s="34" t="n">
        <v>99796.67587169402</v>
      </c>
    </row>
    <row r="28">
      <c r="A28" s="33" t="n">
        <v>45693</v>
      </c>
      <c r="B28" s="34" t="n">
        <v>100144.69</v>
      </c>
      <c r="C28" s="34" t="n">
        <v>99871.98450898803</v>
      </c>
    </row>
    <row r="29">
      <c r="A29" s="33" t="n">
        <v>45694</v>
      </c>
      <c r="B29" s="34" t="n">
        <v>100215.34</v>
      </c>
      <c r="C29" s="34" t="n">
        <v>99540.64488967009</v>
      </c>
    </row>
    <row r="30">
      <c r="A30" s="33" t="n">
        <v>45695</v>
      </c>
      <c r="B30" s="34" t="n">
        <v>100283.49</v>
      </c>
      <c r="C30" s="34" t="n">
        <v>99307.20420073738</v>
      </c>
    </row>
    <row r="31">
      <c r="A31" s="33" t="n">
        <v>45698</v>
      </c>
      <c r="B31" s="34" t="n">
        <v>100042.43</v>
      </c>
      <c r="C31" s="34" t="n">
        <v>98610.63952246465</v>
      </c>
    </row>
    <row r="32">
      <c r="A32" s="33" t="n">
        <v>45699</v>
      </c>
      <c r="B32" s="34" t="n">
        <v>99794.59</v>
      </c>
      <c r="C32" s="34" t="n">
        <v>97349.29453594126</v>
      </c>
    </row>
    <row r="33">
      <c r="A33" s="33" t="n">
        <v>45700</v>
      </c>
      <c r="B33" s="34" t="n">
        <v>99813.25</v>
      </c>
      <c r="C33" s="34" t="n">
        <v>97243.86933802052</v>
      </c>
    </row>
    <row r="34">
      <c r="A34" s="33" t="n">
        <v>45701</v>
      </c>
      <c r="B34" s="34" t="n">
        <v>100133.74</v>
      </c>
      <c r="C34" s="34" t="n">
        <v>97206.22650985832</v>
      </c>
    </row>
    <row r="35">
      <c r="A35" s="33" t="n">
        <v>45702</v>
      </c>
      <c r="B35" s="34" t="n">
        <v>99697.58</v>
      </c>
      <c r="C35" s="34" t="n">
        <v>96746.87139952841</v>
      </c>
    </row>
    <row r="36">
      <c r="A36" s="33" t="n">
        <v>45705</v>
      </c>
      <c r="B36" s="34" t="n">
        <v>99780.24000000001</v>
      </c>
      <c r="C36" s="34" t="n">
        <v>96807.10452078187</v>
      </c>
    </row>
    <row r="37">
      <c r="A37" s="33" t="n">
        <v>45706</v>
      </c>
      <c r="B37" s="34" t="n">
        <v>99705.77</v>
      </c>
      <c r="C37" s="34" t="n">
        <v>96705.44820187127</v>
      </c>
    </row>
    <row r="38">
      <c r="A38" s="33" t="n">
        <v>45707</v>
      </c>
      <c r="B38" s="34" t="n">
        <v>99333.08</v>
      </c>
      <c r="C38" s="34" t="n">
        <v>96724.28110643716</v>
      </c>
    </row>
    <row r="39">
      <c r="A39" s="33" t="n">
        <v>45708</v>
      </c>
      <c r="B39" s="34" t="n">
        <v>99337.32000000001</v>
      </c>
      <c r="C39" s="34" t="n">
        <v>96709.21708088141</v>
      </c>
    </row>
    <row r="40">
      <c r="A40" s="33" t="n">
        <v>45709</v>
      </c>
      <c r="B40" s="34" t="n">
        <v>99059.87</v>
      </c>
      <c r="C40" s="34" t="n">
        <v>96212.20765190449</v>
      </c>
    </row>
    <row r="41">
      <c r="A41" s="33" t="n">
        <v>45712</v>
      </c>
      <c r="B41" s="34" t="n">
        <v>99139.60000000001</v>
      </c>
      <c r="C41" s="34" t="n">
        <v>95210.6625264152</v>
      </c>
    </row>
    <row r="42">
      <c r="A42" s="33" t="n">
        <v>45713</v>
      </c>
      <c r="B42" s="34" t="n">
        <v>98724.14999999999</v>
      </c>
      <c r="C42" s="34" t="n">
        <v>95165.4819402327</v>
      </c>
    </row>
    <row r="43">
      <c r="A43" s="33" t="n">
        <v>45715</v>
      </c>
      <c r="B43" s="34" t="n">
        <v>98871.02</v>
      </c>
      <c r="C43" s="34" t="n">
        <v>95093.94218194885</v>
      </c>
    </row>
    <row r="44">
      <c r="A44" s="33" t="n">
        <v>45716</v>
      </c>
      <c r="B44" s="34" t="n">
        <v>98521.71000000001</v>
      </c>
      <c r="C44" s="34" t="n">
        <v>93546.44390753239</v>
      </c>
    </row>
    <row r="45">
      <c r="A45" s="33" t="n">
        <v>45719</v>
      </c>
      <c r="B45" s="34" t="n">
        <v>98524.03</v>
      </c>
      <c r="C45" s="34" t="n">
        <v>93395.83812342917</v>
      </c>
    </row>
    <row r="46">
      <c r="A46" s="33" t="n">
        <v>45720</v>
      </c>
      <c r="B46" s="34" t="n">
        <v>98806.25</v>
      </c>
      <c r="C46" s="34" t="n">
        <v>93184.98772758772</v>
      </c>
    </row>
    <row r="47">
      <c r="A47" s="33" t="n">
        <v>45721</v>
      </c>
      <c r="B47" s="34" t="n">
        <v>99410.94</v>
      </c>
      <c r="C47" s="34" t="n">
        <v>94310.77946507887</v>
      </c>
    </row>
    <row r="48">
      <c r="A48" s="33" t="n">
        <v>45722</v>
      </c>
      <c r="B48" s="34" t="n">
        <v>99674.38</v>
      </c>
      <c r="C48" s="34" t="n">
        <v>95165.4819402327</v>
      </c>
    </row>
    <row r="49">
      <c r="A49" s="33" t="n">
        <v>45723</v>
      </c>
      <c r="B49" s="34" t="n">
        <v>99647.58</v>
      </c>
      <c r="C49" s="34" t="n">
        <v>95199.36737986957</v>
      </c>
    </row>
    <row r="50">
      <c r="A50" s="33" t="n">
        <v>45726</v>
      </c>
      <c r="B50" s="34" t="n">
        <v>99483.17999999999</v>
      </c>
      <c r="C50" s="34" t="n">
        <v>94788.96173473228</v>
      </c>
    </row>
    <row r="51">
      <c r="A51" s="33" t="n">
        <v>45727</v>
      </c>
      <c r="B51" s="34" t="n">
        <v>99414.3</v>
      </c>
      <c r="C51" s="34" t="n">
        <v>94913.21409197651</v>
      </c>
    </row>
    <row r="52">
      <c r="A52" s="33" t="n">
        <v>45728</v>
      </c>
      <c r="B52" s="34" t="n">
        <v>99126.84</v>
      </c>
      <c r="C52" s="34" t="n">
        <v>94785.19860096453</v>
      </c>
    </row>
    <row r="53">
      <c r="A53" s="33" t="n">
        <v>45729</v>
      </c>
      <c r="B53" s="34" t="n">
        <v>99162.75999999999</v>
      </c>
      <c r="C53" s="34" t="n">
        <v>94529.16187369819</v>
      </c>
    </row>
    <row r="54">
      <c r="A54" s="33" t="n">
        <v>45733</v>
      </c>
      <c r="B54" s="34" t="n">
        <v>99462.48</v>
      </c>
      <c r="C54" s="34" t="n">
        <v>94950.86266538111</v>
      </c>
    </row>
    <row r="55">
      <c r="A55" s="33" t="n">
        <v>45734</v>
      </c>
      <c r="B55" s="34" t="n">
        <v>99462.48</v>
      </c>
      <c r="C55" s="34" t="n">
        <v>94950.86266538111</v>
      </c>
    </row>
    <row r="56">
      <c r="A56" s="33" t="n">
        <v>45735</v>
      </c>
      <c r="B56" s="34" t="n">
        <v>99620.56</v>
      </c>
      <c r="C56" s="34" t="n">
        <v>96652.7413481533</v>
      </c>
    </row>
    <row r="57">
      <c r="A57" s="33" t="n">
        <v>45736</v>
      </c>
      <c r="B57" s="34" t="n">
        <v>100023.27</v>
      </c>
      <c r="C57" s="34" t="n">
        <v>97639.22244808685</v>
      </c>
    </row>
    <row r="58">
      <c r="A58" s="33" t="n">
        <v>45737</v>
      </c>
      <c r="B58" s="34" t="n">
        <v>100150</v>
      </c>
      <c r="C58" s="34" t="n">
        <v>98305.65907524808</v>
      </c>
    </row>
    <row r="59">
      <c r="A59" s="33" t="n">
        <v>45740</v>
      </c>
      <c r="B59" s="34" t="n">
        <v>100622.26</v>
      </c>
      <c r="C59" s="34" t="n">
        <v>99740.20013896591</v>
      </c>
    </row>
    <row r="60">
      <c r="A60" s="33" t="n">
        <v>45741</v>
      </c>
      <c r="B60" s="34" t="n">
        <v>100672.91</v>
      </c>
      <c r="C60" s="34" t="n">
        <v>99676.19813870233</v>
      </c>
    </row>
    <row r="61">
      <c r="A61" s="33" t="n">
        <v>45742</v>
      </c>
      <c r="B61" s="34" t="n">
        <v>100412.98</v>
      </c>
      <c r="C61" s="34" t="n">
        <v>98987.15972796507</v>
      </c>
    </row>
    <row r="62">
      <c r="A62" s="33" t="n">
        <v>45743</v>
      </c>
      <c r="B62" s="34" t="n">
        <v>100463.37</v>
      </c>
      <c r="C62" s="34" t="n">
        <v>99299.67793320191</v>
      </c>
    </row>
    <row r="63">
      <c r="A63" s="33" t="n">
        <v>45744</v>
      </c>
      <c r="B63" s="34" t="n">
        <v>100425.91</v>
      </c>
      <c r="C63" s="34" t="n">
        <v>99103.88007243142</v>
      </c>
    </row>
    <row r="64">
      <c r="A64" s="33" t="n">
        <v>45748</v>
      </c>
      <c r="B64" s="34" t="n">
        <v>100272.74</v>
      </c>
      <c r="C64" s="34" t="n">
        <v>97744.64764600758</v>
      </c>
    </row>
    <row r="65">
      <c r="A65" s="33" t="n">
        <v>45749</v>
      </c>
      <c r="B65" s="34" t="n">
        <v>100457.74</v>
      </c>
      <c r="C65" s="34" t="n">
        <v>98512.7520825642</v>
      </c>
    </row>
    <row r="66">
      <c r="A66" s="33" t="n">
        <v>45750</v>
      </c>
      <c r="B66" s="34" t="n">
        <v>100101.66</v>
      </c>
      <c r="C66" s="34" t="n">
        <v>98068.44950730524</v>
      </c>
    </row>
    <row r="67">
      <c r="A67" s="33" t="n">
        <v>45751</v>
      </c>
      <c r="B67" s="34" t="n">
        <v>99771.34</v>
      </c>
      <c r="C67" s="34" t="n">
        <v>96825.93742534776</v>
      </c>
    </row>
    <row r="68">
      <c r="A68" s="33" t="n">
        <v>45754</v>
      </c>
      <c r="B68" s="34" t="n">
        <v>99452.42</v>
      </c>
      <c r="C68" s="34" t="n">
        <v>93791.1854882531</v>
      </c>
    </row>
    <row r="69">
      <c r="A69" s="33" t="n">
        <v>45755</v>
      </c>
      <c r="B69" s="34" t="n">
        <v>100203.11</v>
      </c>
      <c r="C69" s="34" t="n">
        <v>95154.18679368708</v>
      </c>
    </row>
    <row r="70">
      <c r="A70" s="33" t="n">
        <v>45756</v>
      </c>
      <c r="B70" s="34" t="n">
        <v>99397.3</v>
      </c>
      <c r="C70" s="34" t="n">
        <v>94517.86672715258</v>
      </c>
    </row>
    <row r="71">
      <c r="A71" s="33" t="n">
        <v>45758</v>
      </c>
      <c r="B71" s="34" t="n">
        <v>100159.51</v>
      </c>
      <c r="C71" s="34" t="n">
        <v>96377.87746156346</v>
      </c>
    </row>
    <row r="72">
      <c r="A72" s="33" t="n">
        <v>45762</v>
      </c>
      <c r="B72" s="34" t="n">
        <v>100682.28</v>
      </c>
      <c r="C72" s="34" t="n">
        <v>98222.82417041859</v>
      </c>
    </row>
    <row r="73">
      <c r="A73" s="33" t="n">
        <v>45763</v>
      </c>
      <c r="B73" s="34" t="n">
        <v>100749.85</v>
      </c>
      <c r="C73" s="34" t="n">
        <v>98614.40840147478</v>
      </c>
    </row>
    <row r="74">
      <c r="A74" s="33" t="n">
        <v>45764</v>
      </c>
      <c r="B74" s="34" t="n">
        <v>100892.65</v>
      </c>
      <c r="C74" s="34" t="n">
        <v>100357.6987914193</v>
      </c>
    </row>
    <row r="75">
      <c r="A75" s="33" t="n">
        <v>45768</v>
      </c>
      <c r="B75" s="34" t="n">
        <v>101888.44</v>
      </c>
      <c r="C75" s="34" t="n">
        <v>101547.5040196588</v>
      </c>
    </row>
    <row r="76">
      <c r="A76" s="33" t="n">
        <v>45769</v>
      </c>
      <c r="B76" s="34" t="n">
        <v>101700.18</v>
      </c>
      <c r="C76" s="34" t="n">
        <v>101679.2768991962</v>
      </c>
    </row>
    <row r="77">
      <c r="A77" s="33" t="n">
        <v>45770</v>
      </c>
      <c r="B77" s="34" t="n">
        <v>102736.04</v>
      </c>
      <c r="C77" s="34" t="n">
        <v>102345.7250168422</v>
      </c>
    </row>
    <row r="78">
      <c r="A78" s="33" t="n">
        <v>45771</v>
      </c>
      <c r="B78" s="34" t="n">
        <v>102740.73</v>
      </c>
      <c r="C78" s="34" t="n">
        <v>102018.1542765344</v>
      </c>
    </row>
    <row r="79">
      <c r="A79" s="33" t="n">
        <v>45772</v>
      </c>
      <c r="B79" s="34" t="n">
        <v>102984.16</v>
      </c>
      <c r="C79" s="34" t="n">
        <v>101144.6246420571</v>
      </c>
    </row>
    <row r="80">
      <c r="A80" s="33" t="n">
        <v>45775</v>
      </c>
      <c r="B80" s="34" t="n">
        <v>102968.04</v>
      </c>
      <c r="C80" s="34" t="n">
        <v>102375.8415774689</v>
      </c>
    </row>
    <row r="81">
      <c r="A81" s="33" t="n">
        <v>45776</v>
      </c>
      <c r="B81" s="34" t="n">
        <v>103254.88</v>
      </c>
      <c r="C81" s="34" t="n">
        <v>102379.610456479</v>
      </c>
    </row>
    <row r="82">
      <c r="A82" s="33" t="n">
        <v>45777</v>
      </c>
      <c r="B82" s="34" t="n">
        <v>103254.88</v>
      </c>
      <c r="C82" s="34" t="n">
        <v>102409.7270171058</v>
      </c>
    </row>
    <row r="83">
      <c r="A83" s="33" t="n">
        <v>45779</v>
      </c>
      <c r="B83" s="34" t="n">
        <v>103254.88</v>
      </c>
      <c r="C83" s="34" t="n">
        <v>102326.8921122763</v>
      </c>
    </row>
    <row r="84">
      <c r="A84" s="33" t="n">
        <v>45782</v>
      </c>
      <c r="B84" s="34" t="n">
        <v>103254.88</v>
      </c>
      <c r="C84" s="34" t="n">
        <v>103313.3847026946</v>
      </c>
    </row>
    <row r="85">
      <c r="A85" s="33" t="n">
        <v>45783</v>
      </c>
      <c r="B85" s="34" t="n">
        <v>103254.88</v>
      </c>
      <c r="C85" s="34" t="n">
        <v>102639.4103175131</v>
      </c>
    </row>
    <row r="86">
      <c r="A86" s="33" t="n">
        <v>45784</v>
      </c>
      <c r="B86" s="34" t="n">
        <v>103254.88</v>
      </c>
      <c r="C86" s="34" t="n">
        <v>102710.950075797</v>
      </c>
    </row>
    <row r="87">
      <c r="A87" s="33" t="n">
        <v>45785</v>
      </c>
      <c r="B87" s="34" t="n">
        <v>103254.88</v>
      </c>
      <c r="C87" s="34" t="n">
        <v>102052.0397161712</v>
      </c>
    </row>
    <row r="88">
      <c r="A88" s="33" t="n">
        <v>45786</v>
      </c>
      <c r="B88" s="34" t="n">
        <v>103254.88</v>
      </c>
      <c r="C88" s="34" t="n">
        <v>101091.9062978543</v>
      </c>
    </row>
    <row r="89">
      <c r="A89" s="33" t="n">
        <v>45789</v>
      </c>
      <c r="B89" s="34" t="n">
        <v>103254.88</v>
      </c>
      <c r="C89" s="34" t="n">
        <v>105026.5470415277</v>
      </c>
    </row>
    <row r="90">
      <c r="A90" s="33" t="n">
        <v>45790</v>
      </c>
      <c r="B90" s="34" t="n">
        <v>103254.88</v>
      </c>
      <c r="C90" s="34" t="n">
        <v>103787.7923480955</v>
      </c>
    </row>
    <row r="91">
      <c r="A91" s="33" t="n">
        <v>45791</v>
      </c>
      <c r="B91" s="34" t="n">
        <v>103254.88</v>
      </c>
      <c r="C91" s="34" t="n">
        <v>104134.1959929692</v>
      </c>
    </row>
    <row r="92">
      <c r="A92" s="33" t="n">
        <v>45792</v>
      </c>
      <c r="B92" s="34" t="n">
        <v>103254.88</v>
      </c>
      <c r="C92" s="34" t="n">
        <v>105489.6710308677</v>
      </c>
    </row>
    <row r="93">
      <c r="A93" s="33" t="n">
        <v>45793</v>
      </c>
      <c r="B93" s="34" t="n">
        <v>103254.88</v>
      </c>
      <c r="C93" s="34" t="n">
        <v>105504.7235659387</v>
      </c>
    </row>
    <row r="94">
      <c r="A94" s="33" t="n">
        <v>45796</v>
      </c>
      <c r="B94" s="34" t="n">
        <v>103254.88</v>
      </c>
      <c r="C94" s="34" t="n">
        <v>105128.2033604382</v>
      </c>
    </row>
    <row r="95">
      <c r="A95" s="33" t="n">
        <v>45797</v>
      </c>
      <c r="B95" s="34" t="n">
        <v>103254.88</v>
      </c>
      <c r="C95" s="34" t="n">
        <v>104254.6852164457</v>
      </c>
    </row>
    <row r="96">
      <c r="A96" s="33" t="n">
        <v>45798</v>
      </c>
      <c r="B96" s="34" t="n">
        <v>103254.88</v>
      </c>
      <c r="C96" s="34" t="n">
        <v>104503.1784404494</v>
      </c>
    </row>
    <row r="97">
      <c r="A97" s="33" t="n">
        <v>45799</v>
      </c>
      <c r="B97" s="34" t="n">
        <v>103254.88</v>
      </c>
      <c r="C97" s="34" t="n">
        <v>103885.6912784808</v>
      </c>
    </row>
    <row r="98">
      <c r="A98" s="33" t="n">
        <v>45800</v>
      </c>
      <c r="B98" s="34" t="n">
        <v>103254.88</v>
      </c>
      <c r="C98" s="34" t="n">
        <v>104811.927766676</v>
      </c>
    </row>
    <row r="99">
      <c r="A99" s="33" t="n">
        <v>45803</v>
      </c>
      <c r="B99" s="34" t="n">
        <v>103254.88</v>
      </c>
      <c r="C99" s="34" t="n">
        <v>105384.245832947</v>
      </c>
    </row>
    <row r="100">
      <c r="A100" s="33" t="n">
        <v>45804</v>
      </c>
      <c r="B100" s="34" t="n">
        <v>103254.88</v>
      </c>
      <c r="C100" s="34" t="n">
        <v>104766.7471804936</v>
      </c>
    </row>
    <row r="101">
      <c r="A101" s="33" t="n">
        <v>45805</v>
      </c>
      <c r="B101" s="34" t="n">
        <v>103254.88</v>
      </c>
      <c r="C101" s="34" t="n">
        <v>104555.8967846521</v>
      </c>
    </row>
    <row r="102">
      <c r="A102" s="33" t="n">
        <v>45806</v>
      </c>
      <c r="B102" s="34" t="n">
        <v>103254.88</v>
      </c>
      <c r="C102" s="34" t="n">
        <v>104875.9412574244</v>
      </c>
    </row>
    <row r="103">
      <c r="A103" s="33" t="n">
        <v>45807</v>
      </c>
      <c r="B103" s="34" t="n">
        <v>103254.88</v>
      </c>
      <c r="C103" s="34" t="n">
        <v>104661.3219825728</v>
      </c>
    </row>
    <row r="104">
      <c r="A104" s="33" t="n">
        <v>45810</v>
      </c>
      <c r="B104" s="34" t="n">
        <v>103254.88</v>
      </c>
      <c r="C104" s="34" t="n">
        <v>104522.0113450152</v>
      </c>
    </row>
    <row r="105">
      <c r="A105" s="33" t="n">
        <v>45811</v>
      </c>
      <c r="B105" s="34" t="n">
        <v>103254.88</v>
      </c>
      <c r="C105" s="34" t="n">
        <v>103832.972934278</v>
      </c>
    </row>
    <row r="106">
      <c r="A106" s="33" t="n">
        <v>45812</v>
      </c>
      <c r="B106" s="34" t="n">
        <v>103254.88</v>
      </c>
      <c r="C106" s="34" t="n">
        <v>104092.7727953121</v>
      </c>
    </row>
    <row r="107">
      <c r="A107" s="33" t="n">
        <v>45813</v>
      </c>
      <c r="B107" s="34" t="n">
        <v>103254.88</v>
      </c>
      <c r="C107" s="34" t="n">
        <v>104691.4385431996</v>
      </c>
    </row>
    <row r="108">
      <c r="A108" s="33" t="n">
        <v>45814</v>
      </c>
      <c r="B108" s="34" t="n">
        <v>103254.88</v>
      </c>
      <c r="C108" s="34" t="n">
        <v>105613.9176428695</v>
      </c>
    </row>
    <row r="109">
      <c r="A109" s="33" t="n">
        <v>45817</v>
      </c>
      <c r="B109" s="34" t="n">
        <v>103254.88</v>
      </c>
      <c r="C109" s="34" t="n">
        <v>105933.9621156419</v>
      </c>
    </row>
    <row r="110">
      <c r="A110" s="33" t="n">
        <v>45818</v>
      </c>
      <c r="B110" s="34" t="n">
        <v>103254.88</v>
      </c>
      <c r="C110" s="34" t="n">
        <v>105949.0261411976</v>
      </c>
    </row>
    <row r="111">
      <c r="A111" s="33" t="n">
        <v>45819</v>
      </c>
      <c r="B111" s="34" t="n">
        <v>103254.88</v>
      </c>
      <c r="C111" s="34" t="n">
        <v>106129.7484859276</v>
      </c>
    </row>
    <row r="112">
      <c r="A112" s="33" t="n">
        <v>45820</v>
      </c>
      <c r="B112" s="34" t="n">
        <v>103254.88</v>
      </c>
      <c r="C112" s="34" t="n">
        <v>105030.3159205378</v>
      </c>
    </row>
    <row r="113">
      <c r="A113" s="33" t="n">
        <v>45821</v>
      </c>
      <c r="B113" s="34" t="n">
        <v>103254.88</v>
      </c>
      <c r="C113" s="34" t="n">
        <v>104333.751242265</v>
      </c>
    </row>
    <row r="114">
      <c r="A114" s="33" t="n">
        <v>45824</v>
      </c>
      <c r="B114" s="34" t="n">
        <v>103254.88</v>
      </c>
      <c r="C114" s="34" t="n">
        <v>105312.7060746631</v>
      </c>
    </row>
    <row r="115">
      <c r="A115" s="33" t="n">
        <v>45825</v>
      </c>
      <c r="B115" s="34" t="n">
        <v>103254.88</v>
      </c>
      <c r="C115" s="34" t="n">
        <v>104894.7626715056</v>
      </c>
    </row>
    <row r="116">
      <c r="A116" s="33" t="n">
        <v>45826</v>
      </c>
      <c r="B116" s="34" t="n">
        <v>103254.88</v>
      </c>
      <c r="C116" s="34" t="n">
        <v>104762.9783014834</v>
      </c>
    </row>
    <row r="117">
      <c r="A117" s="33" t="n">
        <v>45827</v>
      </c>
      <c r="B117" s="34" t="n">
        <v>103254.88</v>
      </c>
      <c r="C117" s="34" t="n">
        <v>104638.7316894816</v>
      </c>
    </row>
    <row r="118">
      <c r="A118" s="33" t="n">
        <v>45828</v>
      </c>
      <c r="B118" s="34" t="n">
        <v>103254.88</v>
      </c>
      <c r="C118" s="34" t="n">
        <v>105990.4378483699</v>
      </c>
    </row>
    <row r="119">
      <c r="A119" s="33" t="n">
        <v>45831</v>
      </c>
      <c r="B119" s="34" t="n">
        <v>103254.88</v>
      </c>
      <c r="C119" s="34" t="n">
        <v>105749.459401417</v>
      </c>
    </row>
    <row r="120">
      <c r="A120" s="33" t="n">
        <v>45832</v>
      </c>
      <c r="B120" s="34" t="n">
        <v>103254.88</v>
      </c>
      <c r="C120" s="34" t="n">
        <v>105964.0786762686</v>
      </c>
    </row>
    <row r="121">
      <c r="A121" s="33" t="n">
        <v>45833</v>
      </c>
      <c r="B121" s="34" t="n">
        <v>103254.88</v>
      </c>
      <c r="C121" s="34" t="n">
        <v>106709.5928197339</v>
      </c>
    </row>
    <row r="122">
      <c r="A122" s="33" t="n">
        <v>45834</v>
      </c>
      <c r="B122" s="34" t="n">
        <v>103254.88</v>
      </c>
      <c r="C122" s="34" t="n">
        <v>107831.6271686997</v>
      </c>
    </row>
    <row r="123">
      <c r="A123" s="33" t="n">
        <v>45835</v>
      </c>
      <c r="B123" s="34" t="n">
        <v>103254.88</v>
      </c>
      <c r="C123" s="34" t="n">
        <v>108422.755158567</v>
      </c>
    </row>
    <row r="124">
      <c r="A124" s="33" t="n">
        <v>45838</v>
      </c>
      <c r="B124" s="34" t="n">
        <v>103254.88</v>
      </c>
      <c r="C124" s="34" t="n">
        <v>107876.8077548822</v>
      </c>
    </row>
    <row r="125">
      <c r="A125" s="33" t="n">
        <v>45839</v>
      </c>
      <c r="B125" s="34" t="n">
        <v>103254.88</v>
      </c>
      <c r="C125" s="34" t="n">
        <v>108001.0543668841</v>
      </c>
    </row>
    <row r="126">
      <c r="A126" s="33" t="n">
        <v>45840</v>
      </c>
      <c r="B126" s="34" t="n">
        <v>103254.88</v>
      </c>
      <c r="C126" s="34" t="n">
        <v>107601.9438682924</v>
      </c>
    </row>
    <row r="127">
      <c r="A127" s="33" t="n">
        <v>45841</v>
      </c>
      <c r="B127" s="34" t="n">
        <v>103254.88</v>
      </c>
      <c r="C127" s="34" t="n">
        <v>107455.1069631993</v>
      </c>
    </row>
    <row r="128">
      <c r="A128" s="33" t="n">
        <v>45842</v>
      </c>
      <c r="B128" s="34" t="n">
        <v>103254.88</v>
      </c>
      <c r="C128" s="34" t="n">
        <v>107726.1904802942</v>
      </c>
    </row>
    <row r="129">
      <c r="A129" s="33" t="n">
        <v>45845</v>
      </c>
      <c r="B129" s="34" t="n">
        <v>103254.88</v>
      </c>
      <c r="C129" s="34" t="n">
        <v>107711.1379452233</v>
      </c>
    </row>
    <row r="130">
      <c r="A130" s="33" t="n">
        <v>45846</v>
      </c>
      <c r="B130" s="34" t="n">
        <v>103254.88</v>
      </c>
      <c r="C130" s="34" t="n">
        <v>108027.4135389854</v>
      </c>
    </row>
    <row r="131">
      <c r="A131" s="33" t="n">
        <v>45847</v>
      </c>
      <c r="B131" s="34" t="n">
        <v>103254.88</v>
      </c>
      <c r="C131" s="34" t="n">
        <v>107873.0388758721</v>
      </c>
    </row>
    <row r="132">
      <c r="A132" s="33" t="n">
        <v>45848</v>
      </c>
      <c r="B132" s="34" t="n">
        <v>103254.88</v>
      </c>
      <c r="C132" s="34" t="n">
        <v>107368.5031793597</v>
      </c>
    </row>
    <row r="133">
      <c r="A133" s="33" t="n">
        <v>45849</v>
      </c>
      <c r="B133" s="34" t="n">
        <v>103254.88</v>
      </c>
      <c r="C133" s="34" t="n">
        <v>106596.6298637929</v>
      </c>
    </row>
    <row r="134">
      <c r="A134" s="33" t="n">
        <v>45852</v>
      </c>
      <c r="B134" s="34" t="n">
        <v>103254.88</v>
      </c>
      <c r="C134" s="34" t="n">
        <v>106446.0240796897</v>
      </c>
    </row>
    <row r="135">
      <c r="A135" s="33" t="n">
        <v>45853</v>
      </c>
      <c r="B135" s="34" t="n">
        <v>103254.88</v>
      </c>
      <c r="C135" s="34" t="n">
        <v>106815.0180176547</v>
      </c>
    </row>
    <row r="136">
      <c r="A136" s="33" t="n">
        <v>45854</v>
      </c>
      <c r="B136" s="34" t="n">
        <v>103254.88</v>
      </c>
      <c r="C136" s="34" t="n">
        <v>106796.1966035736</v>
      </c>
    </row>
    <row r="137">
      <c r="A137" s="33" t="n">
        <v>45855</v>
      </c>
      <c r="B137" s="34" t="n">
        <v>103246.09</v>
      </c>
      <c r="C137" s="34" t="n">
        <v>106491.2046658722</v>
      </c>
    </row>
    <row r="138">
      <c r="A138" s="33" t="n">
        <v>45856</v>
      </c>
      <c r="B138" s="34" t="n">
        <v>103333.21</v>
      </c>
      <c r="C138" s="34" t="n">
        <v>105964.0786762686</v>
      </c>
    </row>
    <row r="139">
      <c r="A139" s="33" t="n">
        <v>45859</v>
      </c>
      <c r="B139" s="34" t="n">
        <v>103221.19</v>
      </c>
      <c r="C139" s="34" t="n">
        <v>106276.5968815054</v>
      </c>
    </row>
    <row r="140">
      <c r="A140" s="33" t="n">
        <v>45860</v>
      </c>
      <c r="B140" s="34" t="n">
        <v>103151.71</v>
      </c>
      <c r="C140" s="34" t="n">
        <v>106205.0571232215</v>
      </c>
    </row>
    <row r="141">
      <c r="A141" s="33" t="n">
        <v>45861</v>
      </c>
      <c r="B141" s="34" t="n">
        <v>103324.71</v>
      </c>
      <c r="C141" s="34" t="n">
        <v>106754.7734059164</v>
      </c>
    </row>
    <row r="142">
      <c r="A142" s="33" t="n">
        <v>45862</v>
      </c>
      <c r="B142" s="34" t="n">
        <v>103018.17</v>
      </c>
      <c r="C142" s="34" t="n">
        <v>106216.3522697672</v>
      </c>
    </row>
    <row r="143">
      <c r="A143" s="33" t="n">
        <v>45863</v>
      </c>
      <c r="B143" s="34" t="n">
        <v>102803.94</v>
      </c>
      <c r="C143" s="34" t="n">
        <v>105436.9526866649</v>
      </c>
    </row>
    <row r="144">
      <c r="A144" s="33" t="n">
        <v>45866</v>
      </c>
      <c r="B144" s="34" t="n">
        <v>102381.23</v>
      </c>
      <c r="C144" s="34" t="n">
        <v>104857.1083528585</v>
      </c>
    </row>
    <row r="145">
      <c r="A145" s="33" t="n">
        <v>45867</v>
      </c>
      <c r="B145" s="34" t="n">
        <v>102287.35</v>
      </c>
      <c r="C145" s="34" t="n">
        <v>105459.5429797562</v>
      </c>
    </row>
    <row r="146">
      <c r="A146" s="33" t="n">
        <v>45868</v>
      </c>
      <c r="B146" s="34" t="n">
        <v>102449.27</v>
      </c>
      <c r="C146" s="34" t="n">
        <v>105474.6070053119</v>
      </c>
    </row>
    <row r="147">
      <c r="A147" s="33" t="n">
        <v>45869</v>
      </c>
      <c r="B147" s="34" t="n">
        <v>102310.83</v>
      </c>
      <c r="C147" s="34" t="n">
        <v>105147.0362650041</v>
      </c>
    </row>
    <row r="148">
      <c r="A148" s="33" t="n">
        <v>45870</v>
      </c>
      <c r="B148" s="34" t="n">
        <v>101900.69</v>
      </c>
      <c r="C148" s="34" t="n">
        <v>104427.8812936401</v>
      </c>
    </row>
    <row r="149">
      <c r="A149" s="33" t="n">
        <v>45873</v>
      </c>
      <c r="B149" s="34" t="n">
        <v>102534.54</v>
      </c>
      <c r="C149" s="34" t="n">
        <v>104992.6616018908</v>
      </c>
    </row>
    <row r="150">
      <c r="A150" s="33" t="n">
        <v>45874</v>
      </c>
      <c r="B150" s="34" t="n">
        <v>102641.94</v>
      </c>
      <c r="C150" s="34" t="n">
        <v>104725.3354733212</v>
      </c>
    </row>
    <row r="151">
      <c r="A151" s="33" t="n">
        <v>45875</v>
      </c>
      <c r="B151" s="34" t="n">
        <v>102252.84</v>
      </c>
      <c r="C151" s="34" t="n">
        <v>104412.8172680844</v>
      </c>
    </row>
    <row r="152">
      <c r="A152" s="33" t="n">
        <v>45876</v>
      </c>
      <c r="B152" s="34" t="n">
        <v>102560.2</v>
      </c>
      <c r="C152" s="34" t="n">
        <v>104405.2910005489</v>
      </c>
    </row>
    <row r="153">
      <c r="A153" s="33" t="n">
        <v>45877</v>
      </c>
      <c r="B153" s="34" t="n">
        <v>101977.44</v>
      </c>
      <c r="C153" s="34" t="n">
        <v>103595.7748568199</v>
      </c>
    </row>
    <row r="154">
      <c r="A154" s="33" t="n">
        <v>45880</v>
      </c>
      <c r="B154" s="34" t="n">
        <v>102657.56</v>
      </c>
      <c r="C154" s="34" t="n">
        <v>104405.2910005489</v>
      </c>
    </row>
    <row r="155">
      <c r="A155" s="33" t="n">
        <v>45881</v>
      </c>
      <c r="B155" s="34" t="n">
        <v>102857.97</v>
      </c>
      <c r="C155" s="34" t="n">
        <v>104122.9008464236</v>
      </c>
    </row>
    <row r="156">
      <c r="A156" s="33" t="n">
        <v>45882</v>
      </c>
      <c r="B156" s="34" t="n">
        <v>102800.02</v>
      </c>
      <c r="C156" s="34" t="n">
        <v>104680.1433966539</v>
      </c>
    </row>
    <row r="157">
      <c r="A157" s="33" t="n">
        <v>45883</v>
      </c>
      <c r="B157" s="34" t="n">
        <v>102730.95</v>
      </c>
      <c r="C157" s="34" t="n">
        <v>104759.2209129581</v>
      </c>
    </row>
    <row r="158">
      <c r="A158" s="33" t="n">
        <v>45887</v>
      </c>
      <c r="B158" s="34" t="n">
        <v>102823.87</v>
      </c>
      <c r="C158" s="34" t="n">
        <v>105828.5369177211</v>
      </c>
    </row>
    <row r="159">
      <c r="A159" s="33" t="n">
        <v>45888</v>
      </c>
      <c r="B159" s="34" t="n">
        <v>103202.65</v>
      </c>
      <c r="C159" s="34" t="n">
        <v>106163.6339255644</v>
      </c>
    </row>
    <row r="160">
      <c r="A160" s="33" t="n">
        <v>45889</v>
      </c>
      <c r="B160" s="34" t="n">
        <v>104081.22</v>
      </c>
      <c r="C160" s="34" t="n">
        <v>106374.4843214059</v>
      </c>
    </row>
    <row r="161">
      <c r="A161" s="33" t="n">
        <v>45890</v>
      </c>
      <c r="B161" s="34" t="n">
        <v>104068.06</v>
      </c>
      <c r="C161" s="34" t="n">
        <v>106577.8084497118</v>
      </c>
    </row>
    <row r="162">
      <c r="A162" s="33" t="n">
        <v>45891</v>
      </c>
      <c r="B162" s="34" t="n">
        <v>103639.93</v>
      </c>
      <c r="C162" s="34" t="n">
        <v>105708.0476942446</v>
      </c>
    </row>
    <row r="163">
      <c r="A163" s="33" t="n">
        <v>45894</v>
      </c>
      <c r="B163" s="34" t="n">
        <v>104389.47</v>
      </c>
      <c r="C163" s="34" t="n">
        <v>106058.2087276437</v>
      </c>
    </row>
    <row r="164">
      <c r="A164" s="33" t="n">
        <v>45895</v>
      </c>
      <c r="B164" s="34" t="n">
        <v>104192.89</v>
      </c>
      <c r="C164" s="34" t="n">
        <v>105067.9587487</v>
      </c>
    </row>
    <row r="165">
      <c r="A165" s="33" t="n">
        <v>45897</v>
      </c>
      <c r="B165" s="34" t="n">
        <v>103779.34</v>
      </c>
      <c r="C165" s="34" t="n">
        <v>104269.7377515167</v>
      </c>
    </row>
    <row r="166">
      <c r="A166" s="33" t="n">
        <v>45898</v>
      </c>
      <c r="B166" s="34" t="n">
        <v>103721.87</v>
      </c>
      <c r="C166" s="34" t="n">
        <v>103942.1670112089</v>
      </c>
    </row>
    <row r="167">
      <c r="A167" s="33" t="n">
        <v>45901</v>
      </c>
      <c r="B167" s="34" t="n">
        <v>104026.88</v>
      </c>
      <c r="C167" s="34" t="n">
        <v>104740.3880083922</v>
      </c>
    </row>
    <row r="168">
      <c r="A168" s="33" t="n">
        <v>45902</v>
      </c>
      <c r="B168" s="34" t="n">
        <v>103960.55</v>
      </c>
      <c r="C168" s="34" t="n">
        <v>104552.127905642</v>
      </c>
    </row>
    <row r="169">
      <c r="A169" s="33" t="n">
        <v>45903</v>
      </c>
      <c r="B169" s="34" t="n">
        <v>103909.03</v>
      </c>
      <c r="C169" s="34" t="n">
        <v>105026.5470415277</v>
      </c>
    </row>
    <row r="170">
      <c r="A170" s="33" t="n">
        <v>45904</v>
      </c>
      <c r="B170" s="34" t="n">
        <v>103734.3</v>
      </c>
      <c r="C170" s="34" t="n">
        <v>105169.6265580954</v>
      </c>
    </row>
    <row r="171">
      <c r="A171" s="33" t="n">
        <v>45905</v>
      </c>
      <c r="B171" s="34" t="n">
        <v>103507.75</v>
      </c>
      <c r="C171" s="34" t="n">
        <v>105275.0517560161</v>
      </c>
    </row>
    <row r="172">
      <c r="A172" s="33" t="n">
        <v>45908</v>
      </c>
      <c r="B172" s="34" t="n">
        <v>103327.92</v>
      </c>
      <c r="C172" s="34" t="n">
        <v>105421.8886611092</v>
      </c>
    </row>
    <row r="173">
      <c r="A173" s="33" t="n">
        <v>45909</v>
      </c>
      <c r="B173" s="34" t="n">
        <v>103524.14</v>
      </c>
      <c r="C173" s="34" t="n">
        <v>105628.9816684253</v>
      </c>
    </row>
    <row r="174">
      <c r="A174" s="33" t="n">
        <v>45910</v>
      </c>
      <c r="B174" s="34" t="n">
        <v>104070.9</v>
      </c>
      <c r="C174" s="34" t="n">
        <v>106118.4533393819</v>
      </c>
    </row>
    <row r="175">
      <c r="A175" s="33" t="n">
        <v>45911</v>
      </c>
      <c r="B175" s="34" t="n">
        <v>104289.2</v>
      </c>
      <c r="C175" s="34" t="n">
        <v>106378.253200416</v>
      </c>
    </row>
    <row r="176">
      <c r="A176" s="33" t="n">
        <v>45912</v>
      </c>
      <c r="B176" s="34" t="n">
        <v>104463.86</v>
      </c>
      <c r="C176" s="34" t="n">
        <v>106747.2471383809</v>
      </c>
    </row>
    <row r="177">
      <c r="A177" s="33" t="n">
        <v>45915</v>
      </c>
      <c r="B177" s="34" t="n">
        <v>104397.92</v>
      </c>
      <c r="C177" s="34" t="n">
        <v>106600.3987428031</v>
      </c>
    </row>
    <row r="178">
      <c r="A178" s="33" t="n">
        <v>45916</v>
      </c>
      <c r="B178" s="34" t="n">
        <v>104590.56</v>
      </c>
      <c r="C178" s="34" t="n">
        <v>107266.8468604491</v>
      </c>
    </row>
    <row r="179">
      <c r="A179" s="33" t="n">
        <v>45917</v>
      </c>
      <c r="B179" s="34" t="n">
        <v>104659.44</v>
      </c>
      <c r="C179" s="34" t="n">
        <v>107677.2525055864</v>
      </c>
    </row>
    <row r="180">
      <c r="A180" s="33" t="n">
        <v>45918</v>
      </c>
      <c r="B180" s="34" t="n">
        <v>104741.27</v>
      </c>
      <c r="C180" s="34" t="n">
        <v>107948.3475131661</v>
      </c>
    </row>
    <row r="181">
      <c r="A181" s="33" t="n">
        <v>45919</v>
      </c>
      <c r="B181" s="34" t="n">
        <v>104568.13</v>
      </c>
      <c r="C181" s="34" t="n">
        <v>107647.1244544749</v>
      </c>
    </row>
    <row r="182">
      <c r="A182" s="33" t="n">
        <v>45922</v>
      </c>
      <c r="B182" s="34" t="n">
        <v>104135.49</v>
      </c>
      <c r="C182" s="34" t="n">
        <v>107116.2295858611</v>
      </c>
    </row>
    <row r="183">
      <c r="A183" s="33" t="n">
        <v>45923</v>
      </c>
      <c r="B183" s="34" t="n">
        <v>104044.68</v>
      </c>
      <c r="C183" s="34" t="n">
        <v>107063.5227321431</v>
      </c>
    </row>
    <row r="184">
      <c r="A184" s="33" t="n">
        <v>45924</v>
      </c>
      <c r="B184" s="34" t="n">
        <v>104038.65</v>
      </c>
      <c r="C184" s="34" t="n">
        <v>106510.0375704381</v>
      </c>
    </row>
    <row r="185">
      <c r="A185" s="33" t="n">
        <v>45925</v>
      </c>
      <c r="B185" s="34" t="n">
        <v>103698.32</v>
      </c>
      <c r="C185" s="34" t="n">
        <v>105892.5389179847</v>
      </c>
    </row>
    <row r="186">
      <c r="A186" s="33" t="n">
        <v>45926</v>
      </c>
      <c r="B186" s="34" t="n">
        <v>103230.04</v>
      </c>
      <c r="C186" s="34" t="n">
        <v>104951.2384042336</v>
      </c>
    </row>
    <row r="187">
      <c r="A187" s="33" t="n">
        <v>45929</v>
      </c>
      <c r="B187" s="34" t="n">
        <v>103490.51</v>
      </c>
      <c r="C187" s="34" t="n">
        <v>104875.9412574244</v>
      </c>
    </row>
    <row r="188">
      <c r="A188" s="33" t="n">
        <v>45930</v>
      </c>
      <c r="B188" s="34" t="n">
        <v>103246.33</v>
      </c>
      <c r="C188" s="34" t="n">
        <v>104491.8832939037</v>
      </c>
    </row>
    <row r="189">
      <c r="A189" s="33" t="n">
        <v>45931</v>
      </c>
      <c r="B189" s="34" t="n">
        <v>103944.54</v>
      </c>
      <c r="C189" s="34" t="n">
        <v>105617.6865218797</v>
      </c>
    </row>
    <row r="190">
      <c r="A190" s="33" t="n">
        <v>45933</v>
      </c>
      <c r="B190" s="34" t="n">
        <v>103986.87</v>
      </c>
      <c r="C190" s="34" t="n">
        <v>105862.422357358</v>
      </c>
    </row>
    <row r="191">
      <c r="A191" s="33" t="n">
        <v>45936</v>
      </c>
      <c r="B191" s="34" t="n">
        <v>104202.33</v>
      </c>
      <c r="C191" s="34" t="n">
        <v>106581.577328722</v>
      </c>
    </row>
    <row r="192">
      <c r="A192" s="33" t="n">
        <v>45937</v>
      </c>
      <c r="B192" s="34" t="n">
        <v>104133.02</v>
      </c>
      <c r="C192" s="34" t="n">
        <v>106709.5928197339</v>
      </c>
    </row>
    <row r="193">
      <c r="A193" s="33" t="n">
        <v>45938</v>
      </c>
      <c r="B193" s="34" t="n">
        <v>104653.4</v>
      </c>
      <c r="C193" s="34" t="n">
        <v>106321.7774676879</v>
      </c>
    </row>
    <row r="194">
      <c r="A194" s="33" t="n">
        <v>45939</v>
      </c>
      <c r="B194" s="34" t="n">
        <v>105064.8</v>
      </c>
      <c r="C194" s="34" t="n">
        <v>106950.5597762021</v>
      </c>
    </row>
    <row r="195">
      <c r="A195" s="33" t="n">
        <v>45940</v>
      </c>
      <c r="B195" s="34" t="n">
        <v>105057.37</v>
      </c>
      <c r="C195" s="34" t="n">
        <v>107504.0449379072</v>
      </c>
    </row>
    <row r="196">
      <c r="A196" s="33" t="n">
        <v>45943</v>
      </c>
      <c r="B196" s="34" t="n">
        <v>104971.37</v>
      </c>
      <c r="C196" s="34" t="n">
        <v>107172.716809074</v>
      </c>
    </row>
    <row r="197">
      <c r="A197" s="33" t="n">
        <v>45944</v>
      </c>
      <c r="B197" s="34" t="n">
        <v>104730.49</v>
      </c>
      <c r="C197" s="34" t="n">
        <v>106815.0180176547</v>
      </c>
    </row>
    <row r="198">
      <c r="A198" s="33" t="n">
        <v>45945</v>
      </c>
      <c r="B198" s="34" t="n">
        <v>104988.65</v>
      </c>
      <c r="C198" s="34" t="n">
        <v>107711.1379452233</v>
      </c>
    </row>
    <row r="199">
      <c r="A199" s="33" t="n">
        <v>45946</v>
      </c>
      <c r="B199" s="34" t="n">
        <v>105398.33</v>
      </c>
      <c r="C199" s="34" t="n">
        <v>108701.3879241669</v>
      </c>
    </row>
    <row r="200">
      <c r="A200" s="33" t="n">
        <v>45947</v>
      </c>
      <c r="B200" s="34" t="n">
        <v>105410.74</v>
      </c>
      <c r="C200" s="34" t="n">
        <v>109254.873085872</v>
      </c>
    </row>
    <row r="201">
      <c r="A201" s="33" t="n">
        <v>45950</v>
      </c>
      <c r="B201" s="34" t="n">
        <v>105617.91</v>
      </c>
      <c r="C201" s="34" t="n">
        <v>109891.1816619217</v>
      </c>
    </row>
    <row r="202">
      <c r="A202" s="33" t="n">
        <v>45951</v>
      </c>
      <c r="B202" s="34" t="n">
        <v>105623.04</v>
      </c>
      <c r="C202" s="34" t="n">
        <v>109894.9505409318</v>
      </c>
    </row>
    <row r="203">
      <c r="A203" s="33" t="n">
        <v>45953</v>
      </c>
      <c r="B203" s="34" t="n">
        <v>105898.9</v>
      </c>
      <c r="C203" s="34" t="n">
        <v>110090.7484017023</v>
      </c>
    </row>
    <row r="204">
      <c r="A204" s="33" t="n">
        <v>45954</v>
      </c>
      <c r="B204" s="34" t="n">
        <v>105819.34</v>
      </c>
      <c r="C204" s="34" t="n">
        <v>110090.7484017023</v>
      </c>
    </row>
    <row r="205">
      <c r="A205" s="33" t="n">
        <v>45957</v>
      </c>
      <c r="B205" s="34" t="n">
        <v>106067.62</v>
      </c>
      <c r="C205" s="34" t="n">
        <v>110452.2045816469</v>
      </c>
    </row>
    <row r="206">
      <c r="A206" s="33" t="n">
        <v>45958</v>
      </c>
      <c r="B206" s="34" t="n">
        <v>105879.12</v>
      </c>
      <c r="C206" s="34" t="n">
        <v>110358.0745302718</v>
      </c>
    </row>
    <row r="207">
      <c r="A207" s="33" t="n">
        <v>45959</v>
      </c>
      <c r="B207" s="34" t="n">
        <v>105984.77</v>
      </c>
      <c r="C207" s="34" t="n">
        <v>110885.2005198755</v>
      </c>
    </row>
    <row r="208">
      <c r="A208" s="33" t="n">
        <v>45960</v>
      </c>
      <c r="B208" s="34" t="n">
        <v>105875.48</v>
      </c>
      <c r="C208" s="34" t="n">
        <v>110162.2766695014</v>
      </c>
    </row>
    <row r="209">
      <c r="A209" s="33" t="n">
        <v>45961</v>
      </c>
      <c r="B209" s="34" t="n">
        <v>105780.11</v>
      </c>
      <c r="C209" s="34" t="n">
        <v>109597.4963612507</v>
      </c>
    </row>
    <row r="210">
      <c r="A210" s="33" t="n">
        <v>45964</v>
      </c>
      <c r="B210" s="34" t="n">
        <v>105862.36</v>
      </c>
      <c r="C210" s="34" t="n">
        <v>109699.1641706461</v>
      </c>
    </row>
    <row r="211">
      <c r="A211" s="33" t="n">
        <v>45965</v>
      </c>
      <c r="B211" s="34" t="n">
        <v>105670.33</v>
      </c>
      <c r="C211" s="34" t="n">
        <v>109036.4849320102</v>
      </c>
    </row>
    <row r="212">
      <c r="A212" s="33" t="n">
        <v>45967</v>
      </c>
      <c r="B212" s="34" t="n">
        <v>105799.46</v>
      </c>
      <c r="C212" s="34" t="n">
        <v>108528.1803564877</v>
      </c>
    </row>
    <row r="213">
      <c r="A213" s="33" t="n">
        <v>45968</v>
      </c>
      <c r="B213" s="34" t="n">
        <v>105589.42</v>
      </c>
      <c r="C213" s="34" t="n">
        <v>108603.4889937817</v>
      </c>
    </row>
    <row r="214">
      <c r="A214" s="33" t="n">
        <v>45971</v>
      </c>
      <c r="B214" s="34" t="n">
        <v>105112.86</v>
      </c>
      <c r="C214" s="34" t="n">
        <v>108998.8306133632</v>
      </c>
    </row>
    <row r="215">
      <c r="A215" s="33" t="n">
        <v>45972</v>
      </c>
      <c r="B215" s="34" t="n">
        <v>105172.15</v>
      </c>
      <c r="C215" s="34" t="n">
        <v>109499.6089213503</v>
      </c>
    </row>
    <row r="216">
      <c r="A216" s="33" t="n">
        <v>45973</v>
      </c>
      <c r="B216" s="34" t="n">
        <v>105398.37</v>
      </c>
      <c r="C216" s="34" t="n">
        <v>110214.9950137041</v>
      </c>
    </row>
    <row r="217">
      <c r="A217" s="33" t="n">
        <v>45974</v>
      </c>
      <c r="B217" s="34" t="n">
        <v>105199.74</v>
      </c>
      <c r="C217" s="34" t="n">
        <v>110090.7484017023</v>
      </c>
    </row>
    <row r="218">
      <c r="A218" s="33" t="n">
        <v>45975</v>
      </c>
      <c r="B218" s="34" t="n">
        <v>105168.49</v>
      </c>
      <c r="C218" s="34" t="n">
        <v>110256.4067208765</v>
      </c>
    </row>
    <row r="219">
      <c r="A219" s="33" t="n">
        <v>45978</v>
      </c>
      <c r="B219" s="34" t="n">
        <v>104754.9</v>
      </c>
      <c r="C219" s="34" t="n">
        <v>110685.6452705797</v>
      </c>
    </row>
    <row r="220">
      <c r="A220" s="33" t="n">
        <v>45979</v>
      </c>
      <c r="B220" s="34" t="n">
        <v>104660.46</v>
      </c>
      <c r="C220" s="34" t="n">
        <v>110309.1250650792</v>
      </c>
    </row>
    <row r="221">
      <c r="A221" s="33" t="n">
        <v>45980</v>
      </c>
      <c r="B221" s="34" t="n">
        <v>104372.98</v>
      </c>
      <c r="C221" s="34" t="n">
        <v>110836.2510546829</v>
      </c>
    </row>
    <row r="222">
      <c r="A222" s="33" t="n">
        <v>45981</v>
      </c>
      <c r="B222" s="34" t="n">
        <v>104422.9</v>
      </c>
      <c r="C222" s="34" t="n">
        <v>111314.4390695787</v>
      </c>
    </row>
    <row r="223">
      <c r="A223" s="33" t="n">
        <v>45982</v>
      </c>
      <c r="B223" s="34" t="n">
        <v>104431.43</v>
      </c>
      <c r="C223" s="34" t="n">
        <v>110817.4296406018</v>
      </c>
    </row>
    <row r="224">
      <c r="A224" s="33" t="n">
        <v>45985</v>
      </c>
      <c r="B224" s="34" t="n">
        <v>104225.48</v>
      </c>
      <c r="C224" s="34" t="n">
        <v>110433.3716770811</v>
      </c>
    </row>
    <row r="225">
      <c r="A225" s="33" t="n">
        <v>45986</v>
      </c>
      <c r="B225" s="34" t="n">
        <v>103920.75</v>
      </c>
      <c r="C225" s="34" t="n">
        <v>110199.9309881484</v>
      </c>
    </row>
    <row r="226">
      <c r="A226" s="33" t="n">
        <v>45987</v>
      </c>
      <c r="B226" s="34" t="n">
        <v>104109.58</v>
      </c>
      <c r="C226" s="34" t="n">
        <v>111453.7497071363</v>
      </c>
    </row>
    <row r="227">
      <c r="A227" s="33" t="n">
        <v>45988</v>
      </c>
      <c r="B227" s="34" t="n">
        <v>104069.32</v>
      </c>
      <c r="C227" s="34" t="n">
        <v>111608.1243702496</v>
      </c>
    </row>
    <row r="228">
      <c r="A228" s="33" t="n">
        <v>45989</v>
      </c>
      <c r="B228" s="34" t="n">
        <v>104041.55</v>
      </c>
      <c r="C228" s="34" t="n">
        <v>111634.4720518662</v>
      </c>
    </row>
    <row r="229">
      <c r="A229" s="33" t="n">
        <v>45992</v>
      </c>
      <c r="B229" s="34" t="n">
        <v>104235.93</v>
      </c>
      <c r="C229" s="34" t="n">
        <v>111487.6351467731</v>
      </c>
    </row>
    <row r="230">
      <c r="A230" s="33" t="n">
        <v>45993</v>
      </c>
      <c r="B230" s="34" t="n">
        <v>104179.01</v>
      </c>
      <c r="C230" s="34" t="n">
        <v>110945.4451316137</v>
      </c>
    </row>
    <row r="231">
      <c r="A231" s="33" t="n">
        <v>45994</v>
      </c>
      <c r="B231" s="34" t="n">
        <v>104042.94</v>
      </c>
      <c r="C231" s="34" t="n">
        <v>110621.6317798313</v>
      </c>
    </row>
    <row r="232">
      <c r="A232" s="33" t="n">
        <v>45995</v>
      </c>
      <c r="B232" s="34" t="n">
        <v>104031.83</v>
      </c>
      <c r="C232" s="34" t="n">
        <v>110836.2510546829</v>
      </c>
    </row>
    <row r="233">
      <c r="A233" s="33" t="n">
        <v>45996</v>
      </c>
      <c r="B233" s="34" t="n">
        <v>103952.69</v>
      </c>
      <c r="C233" s="34" t="n">
        <v>111453.7497071363</v>
      </c>
    </row>
    <row r="234">
      <c r="A234" s="33" t="n">
        <v>45999</v>
      </c>
      <c r="B234" s="34" t="n">
        <v>103795.66</v>
      </c>
      <c r="C234" s="34" t="n">
        <v>110489.858900294</v>
      </c>
    </row>
    <row r="235">
      <c r="A235" s="33" t="n">
        <v>46000</v>
      </c>
      <c r="B235" s="34" t="n">
        <v>103783.69</v>
      </c>
      <c r="C235" s="34" t="n">
        <v>110075.6843761465</v>
      </c>
    </row>
    <row r="236">
      <c r="A236" s="33" t="n">
        <v>46001</v>
      </c>
      <c r="B236" s="34" t="n">
        <v>103408.56</v>
      </c>
      <c r="C236" s="34" t="n">
        <v>109778.2301964655</v>
      </c>
    </row>
    <row r="237">
      <c r="A237" s="33" t="n">
        <v>46002</v>
      </c>
      <c r="B237" s="34" t="n">
        <v>103575.15</v>
      </c>
      <c r="C237" s="34" t="n">
        <v>110294.0610395235</v>
      </c>
    </row>
    <row r="238">
      <c r="A238" s="33" t="n">
        <v>46003</v>
      </c>
      <c r="B238" s="34" t="n">
        <v>103827.35</v>
      </c>
      <c r="C238" s="34" t="n">
        <v>110956.7402781594</v>
      </c>
    </row>
    <row r="239">
      <c r="A239" s="33" t="n">
        <v>46006</v>
      </c>
      <c r="B239" s="34" t="n">
        <v>104081.66</v>
      </c>
      <c r="C239" s="34" t="n">
        <v>110900.2645454312</v>
      </c>
    </row>
    <row r="240">
      <c r="A240" s="33" t="n">
        <v>46007</v>
      </c>
      <c r="B240" s="34" t="n">
        <v>104015.94</v>
      </c>
      <c r="C240" s="34" t="n">
        <v>110192.4047206129</v>
      </c>
    </row>
    <row r="241">
      <c r="A241" s="33" t="n">
        <v>46008</v>
      </c>
      <c r="B241" s="34" t="n">
        <v>103797.44</v>
      </c>
      <c r="C241" s="34" t="n">
        <v>109834.7059291936</v>
      </c>
    </row>
    <row r="242">
      <c r="A242" s="33" t="n">
        <v>46009</v>
      </c>
      <c r="B242" s="34" t="n">
        <v>104018.82</v>
      </c>
      <c r="C242" s="34" t="n">
        <v>109883.6553943862</v>
      </c>
    </row>
    <row r="243">
      <c r="A243" s="33" t="n">
        <v>46010</v>
      </c>
      <c r="B243" s="34" t="n">
        <v>104443.12</v>
      </c>
      <c r="C243" s="34" t="n">
        <v>110489.6635620526</v>
      </c>
    </row>
    <row r="244">
      <c r="A244" s="33" t="n">
        <v>46013</v>
      </c>
      <c r="B244" s="34" t="n">
        <v>104937.79</v>
      </c>
      <c r="C244" s="34" t="n">
        <v>111333.2604836598</v>
      </c>
    </row>
    <row r="245">
      <c r="A245" s="33" t="n">
        <v>46014</v>
      </c>
      <c r="B245" s="34" t="n">
        <v>105059.35</v>
      </c>
      <c r="C245" s="34" t="n">
        <v>111329.4916046497</v>
      </c>
    </row>
    <row r="246">
      <c r="A246" s="33" t="n">
        <v>46015</v>
      </c>
      <c r="B246" s="34" t="n">
        <v>105085.67</v>
      </c>
      <c r="C246" s="34" t="n">
        <v>111261.7207253759</v>
      </c>
    </row>
    <row r="247">
      <c r="A247" s="33" t="n">
        <v>46017</v>
      </c>
      <c r="B247" s="34" t="n">
        <v>105043.6</v>
      </c>
      <c r="C247" s="34" t="n">
        <v>110870.1364943197</v>
      </c>
    </row>
    <row r="248">
      <c r="A248" s="33" t="n">
        <v>46020</v>
      </c>
      <c r="B248" s="34" t="n">
        <v>104989.73</v>
      </c>
      <c r="C248" s="34" t="n">
        <v>110376.895944353</v>
      </c>
    </row>
    <row r="249">
      <c r="A249" s="33" t="n">
        <v>46021</v>
      </c>
      <c r="B249" s="34" t="n">
        <v>104847.94</v>
      </c>
      <c r="C249" s="34" t="n">
        <v>110440.9094351013</v>
      </c>
    </row>
    <row r="250">
      <c r="A250" s="33" t="n">
        <v>46022</v>
      </c>
      <c r="B250" s="34" t="n">
        <v>105138.82</v>
      </c>
      <c r="C250" s="34" t="n">
        <v>111190.1809670921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A78D6"/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1" customWidth="1" min="4" max="4"/>
    <col width="13" customWidth="1" min="5" max="5"/>
    <col width="18" customWidth="1" min="6" max="6"/>
    <col width="8" customWidth="1" min="7" max="7"/>
    <col width="13" customWidth="1" min="8" max="8"/>
  </cols>
  <sheetData>
    <row r="1" ht="22" customHeight="1">
      <c r="A1" s="15" t="inlineStr">
        <is>
          <t>Ticker</t>
        </is>
      </c>
      <c r="B1" s="15" t="inlineStr">
        <is>
          <t>Entry Date</t>
        </is>
      </c>
      <c r="C1" s="15" t="inlineStr">
        <is>
          <t>Exit Date</t>
        </is>
      </c>
      <c r="D1" s="15" t="inlineStr">
        <is>
          <t>Days Held</t>
        </is>
      </c>
      <c r="E1" s="15" t="inlineStr">
        <is>
          <t>Return (%)</t>
        </is>
      </c>
      <c r="F1" s="15" t="inlineStr">
        <is>
          <t>Profit (INR)</t>
        </is>
      </c>
      <c r="G1" s="15" t="inlineStr">
        <is>
          <t>Win</t>
        </is>
      </c>
      <c r="H1" s="15" t="inlineStr">
        <is>
          <t>Exit Reason</t>
        </is>
      </c>
    </row>
    <row r="2">
      <c r="A2" s="36" t="inlineStr">
        <is>
          <t>JIOFIN</t>
        </is>
      </c>
      <c r="B2" s="37" t="n">
        <v>45678</v>
      </c>
      <c r="C2" s="37" t="n">
        <v>45684</v>
      </c>
      <c r="D2" s="19" t="n">
        <v>6</v>
      </c>
      <c r="E2" s="38" t="n">
        <v>-10.49</v>
      </c>
      <c r="F2" s="29" t="n">
        <v>-1033.11</v>
      </c>
      <c r="G2" s="39" t="b">
        <v>0</v>
      </c>
      <c r="H2" s="17" t="inlineStr">
        <is>
          <t>SL</t>
        </is>
      </c>
    </row>
    <row r="3">
      <c r="A3" s="36" t="inlineStr">
        <is>
          <t>INDIGO</t>
        </is>
      </c>
      <c r="B3" s="37" t="n">
        <v>45678</v>
      </c>
      <c r="C3" s="37" t="n">
        <v>45685</v>
      </c>
      <c r="D3" s="19" t="n">
        <v>7</v>
      </c>
      <c r="E3" s="38" t="n">
        <v>6.59</v>
      </c>
      <c r="F3" s="29" t="n">
        <v>527.92</v>
      </c>
      <c r="G3" s="40" t="b">
        <v>1</v>
      </c>
      <c r="H3" s="17" t="inlineStr">
        <is>
          <t>TP</t>
        </is>
      </c>
    </row>
    <row r="4">
      <c r="A4" s="36" t="inlineStr">
        <is>
          <t>JIOFIN</t>
        </is>
      </c>
      <c r="B4" s="37" t="n">
        <v>45685</v>
      </c>
      <c r="C4" s="37" t="n">
        <v>45692</v>
      </c>
      <c r="D4" s="19" t="n">
        <v>7</v>
      </c>
      <c r="E4" s="38" t="n">
        <v>4.81</v>
      </c>
      <c r="F4" s="29" t="n">
        <v>480.65</v>
      </c>
      <c r="G4" s="40" t="b">
        <v>1</v>
      </c>
      <c r="H4" s="17" t="inlineStr">
        <is>
          <t>TP</t>
        </is>
      </c>
    </row>
    <row r="5">
      <c r="A5" s="36" t="inlineStr">
        <is>
          <t>SUNPHARMA</t>
        </is>
      </c>
      <c r="B5" s="37" t="n">
        <v>45678</v>
      </c>
      <c r="C5" s="37" t="n">
        <v>45720</v>
      </c>
      <c r="D5" s="19" t="n">
        <v>42</v>
      </c>
      <c r="E5" s="38" t="n">
        <v>-10.78</v>
      </c>
      <c r="F5" s="29" t="n">
        <v>-933.17</v>
      </c>
      <c r="G5" s="39" t="b">
        <v>0</v>
      </c>
      <c r="H5" s="17" t="inlineStr">
        <is>
          <t>SL</t>
        </is>
      </c>
    </row>
    <row r="6">
      <c r="A6" s="36" t="inlineStr">
        <is>
          <t>JIOFIN</t>
        </is>
      </c>
      <c r="B6" s="37" t="n">
        <v>45719</v>
      </c>
      <c r="C6" s="37" t="n">
        <v>45721</v>
      </c>
      <c r="D6" s="19" t="n">
        <v>2</v>
      </c>
      <c r="E6" s="38" t="n">
        <v>7.84</v>
      </c>
      <c r="F6" s="29" t="n">
        <v>769.33</v>
      </c>
      <c r="G6" s="40" t="b">
        <v>1</v>
      </c>
      <c r="H6" s="17" t="inlineStr">
        <is>
          <t>TP</t>
        </is>
      </c>
    </row>
    <row r="7">
      <c r="A7" s="36" t="inlineStr">
        <is>
          <t>DRREDDY</t>
        </is>
      </c>
      <c r="B7" s="37" t="n">
        <v>45684</v>
      </c>
      <c r="C7" s="37" t="n">
        <v>45737</v>
      </c>
      <c r="D7" s="19" t="n">
        <v>53</v>
      </c>
      <c r="E7" s="38" t="n">
        <v>0.01</v>
      </c>
      <c r="F7" s="29" t="n">
        <v>0.8100000000000001</v>
      </c>
      <c r="G7" s="40" t="b">
        <v>1</v>
      </c>
      <c r="H7" s="17" t="inlineStr">
        <is>
          <t>RSI</t>
        </is>
      </c>
    </row>
    <row r="8">
      <c r="A8" s="36" t="inlineStr">
        <is>
          <t>TCS</t>
        </is>
      </c>
      <c r="B8" s="37" t="n">
        <v>45716</v>
      </c>
      <c r="C8" s="37" t="n">
        <v>45741</v>
      </c>
      <c r="D8" s="19" t="n">
        <v>25</v>
      </c>
      <c r="E8" s="38" t="n">
        <v>4.8</v>
      </c>
      <c r="F8" s="29" t="n">
        <v>476.2</v>
      </c>
      <c r="G8" s="40" t="b">
        <v>1</v>
      </c>
      <c r="H8" s="17" t="inlineStr">
        <is>
          <t>TP</t>
        </is>
      </c>
    </row>
    <row r="9">
      <c r="A9" s="36" t="inlineStr">
        <is>
          <t>HINDALCO</t>
        </is>
      </c>
      <c r="B9" s="37" t="n">
        <v>45754</v>
      </c>
      <c r="C9" s="37" t="n">
        <v>45758</v>
      </c>
      <c r="D9" s="19" t="n">
        <v>4</v>
      </c>
      <c r="E9" s="38" t="n">
        <v>6.65</v>
      </c>
      <c r="F9" s="29" t="n">
        <v>663.73</v>
      </c>
      <c r="G9" s="40" t="b">
        <v>1</v>
      </c>
      <c r="H9" s="17" t="inlineStr">
        <is>
          <t>TP</t>
        </is>
      </c>
    </row>
    <row r="10">
      <c r="A10" s="36" t="inlineStr">
        <is>
          <t>HCLTECH</t>
        </is>
      </c>
      <c r="B10" s="37" t="n">
        <v>45754</v>
      </c>
      <c r="C10" s="37" t="n">
        <v>45768</v>
      </c>
      <c r="D10" s="19" t="n">
        <v>14</v>
      </c>
      <c r="E10" s="38" t="n">
        <v>7.64</v>
      </c>
      <c r="F10" s="29" t="n">
        <v>690.02</v>
      </c>
      <c r="G10" s="40" t="b">
        <v>1</v>
      </c>
      <c r="H10" s="17" t="inlineStr">
        <is>
          <t>TP</t>
        </is>
      </c>
    </row>
    <row r="11">
      <c r="A11" s="36" t="inlineStr">
        <is>
          <t>INFY</t>
        </is>
      </c>
      <c r="B11" s="37" t="n">
        <v>45754</v>
      </c>
      <c r="C11" s="37" t="n">
        <v>45770</v>
      </c>
      <c r="D11" s="19" t="n">
        <v>16</v>
      </c>
      <c r="E11" s="38" t="n">
        <v>5.39</v>
      </c>
      <c r="F11" s="29" t="n">
        <v>500.96</v>
      </c>
      <c r="G11" s="40" t="b">
        <v>1</v>
      </c>
      <c r="H11" s="17" t="inlineStr">
        <is>
          <t>TP</t>
        </is>
      </c>
    </row>
    <row r="12">
      <c r="A12" s="36" t="inlineStr">
        <is>
          <t>TCS</t>
        </is>
      </c>
      <c r="B12" s="37" t="n">
        <v>45751</v>
      </c>
      <c r="C12" s="37" t="n">
        <v>45776</v>
      </c>
      <c r="D12" s="19" t="n">
        <v>25</v>
      </c>
      <c r="E12" s="38" t="n">
        <v>5.04</v>
      </c>
      <c r="F12" s="29" t="n">
        <v>473.27</v>
      </c>
      <c r="G12" s="40" t="b">
        <v>1</v>
      </c>
      <c r="H12" s="17" t="inlineStr">
        <is>
          <t>TP</t>
        </is>
      </c>
    </row>
    <row r="13">
      <c r="A13" s="36" t="inlineStr">
        <is>
          <t>TECHM</t>
        </is>
      </c>
      <c r="B13" s="37" t="n">
        <v>45735</v>
      </c>
      <c r="C13" s="37" t="n">
        <v>45776</v>
      </c>
      <c r="D13" s="19" t="n">
        <v>41</v>
      </c>
      <c r="E13" s="38" t="n">
        <v>6.89</v>
      </c>
      <c r="F13" s="29" t="n">
        <v>638.28</v>
      </c>
      <c r="G13" s="40" t="b">
        <v>1</v>
      </c>
      <c r="H13" s="17" t="inlineStr">
        <is>
          <t>TP</t>
        </is>
      </c>
    </row>
    <row r="14">
      <c r="A14" s="36" t="inlineStr">
        <is>
          <t>ADANIENT</t>
        </is>
      </c>
      <c r="B14" s="37" t="n">
        <v>45876</v>
      </c>
      <c r="C14" s="37" t="n">
        <v>45888</v>
      </c>
      <c r="D14" s="19" t="n">
        <v>12</v>
      </c>
      <c r="E14" s="38" t="n">
        <v>5.95</v>
      </c>
      <c r="F14" s="29" t="n">
        <v>535.61</v>
      </c>
      <c r="G14" s="40" t="b">
        <v>1</v>
      </c>
      <c r="H14" s="17" t="inlineStr">
        <is>
          <t>TP</t>
        </is>
      </c>
    </row>
    <row r="15">
      <c r="A15" s="36" t="inlineStr">
        <is>
          <t>TECHM</t>
        </is>
      </c>
      <c r="B15" s="37" t="n">
        <v>45866</v>
      </c>
      <c r="C15" s="37" t="n">
        <v>45889</v>
      </c>
      <c r="D15" s="19" t="n">
        <v>23</v>
      </c>
      <c r="E15" s="38" t="n">
        <v>4.86</v>
      </c>
      <c r="F15" s="29" t="n">
        <v>476.19</v>
      </c>
      <c r="G15" s="40" t="b">
        <v>1</v>
      </c>
      <c r="H15" s="17" t="inlineStr">
        <is>
          <t>TP</t>
        </is>
      </c>
    </row>
    <row r="16">
      <c r="A16" s="36" t="inlineStr">
        <is>
          <t>INFY</t>
        </is>
      </c>
      <c r="B16" s="37" t="n">
        <v>45875</v>
      </c>
      <c r="C16" s="37" t="n">
        <v>45894</v>
      </c>
      <c r="D16" s="19" t="n">
        <v>19</v>
      </c>
      <c r="E16" s="38" t="n">
        <v>6.43</v>
      </c>
      <c r="F16" s="29" t="n">
        <v>623.76</v>
      </c>
      <c r="G16" s="40" t="b">
        <v>1</v>
      </c>
      <c r="H16" s="17" t="inlineStr">
        <is>
          <t>TP</t>
        </is>
      </c>
    </row>
    <row r="17">
      <c r="A17" s="36" t="inlineStr">
        <is>
          <t>AXISBANK</t>
        </is>
      </c>
      <c r="B17" s="37" t="n">
        <v>45856</v>
      </c>
      <c r="C17" s="37" t="n">
        <v>45912</v>
      </c>
      <c r="D17" s="19" t="n">
        <v>56</v>
      </c>
      <c r="E17" s="38" t="n">
        <v>0.35</v>
      </c>
      <c r="F17" s="29" t="n">
        <v>34.13</v>
      </c>
      <c r="G17" s="40" t="b">
        <v>1</v>
      </c>
      <c r="H17" s="17" t="inlineStr">
        <is>
          <t>RSI</t>
        </is>
      </c>
    </row>
    <row r="18">
      <c r="A18" s="36" t="inlineStr">
        <is>
          <t>TITAN</t>
        </is>
      </c>
      <c r="B18" s="37" t="n">
        <v>45926</v>
      </c>
      <c r="C18" s="37" t="n">
        <v>45938</v>
      </c>
      <c r="D18" s="19" t="n">
        <v>12</v>
      </c>
      <c r="E18" s="38" t="n">
        <v>6.95</v>
      </c>
      <c r="F18" s="29" t="n">
        <v>691.95</v>
      </c>
      <c r="G18" s="40" t="b">
        <v>1</v>
      </c>
      <c r="H18" s="17" t="inlineStr">
        <is>
          <t>TP</t>
        </is>
      </c>
    </row>
    <row r="19">
      <c r="A19" s="36" t="inlineStr">
        <is>
          <t>HCLTECH</t>
        </is>
      </c>
      <c r="B19" s="37" t="n">
        <v>45855</v>
      </c>
      <c r="C19" s="37" t="n">
        <v>45939</v>
      </c>
      <c r="D19" s="19" t="n">
        <v>84</v>
      </c>
      <c r="E19" s="38" t="n">
        <v>-3.16</v>
      </c>
      <c r="F19" s="29" t="n">
        <v>-277.92</v>
      </c>
      <c r="G19" s="39" t="b">
        <v>0</v>
      </c>
      <c r="H19" s="17" t="inlineStr">
        <is>
          <t>RSI</t>
        </is>
      </c>
    </row>
    <row r="20">
      <c r="A20" s="36" t="inlineStr">
        <is>
          <t>ICICIBANK</t>
        </is>
      </c>
      <c r="B20" s="37" t="n">
        <v>45929</v>
      </c>
      <c r="C20" s="37" t="n">
        <v>45946</v>
      </c>
      <c r="D20" s="19" t="n">
        <v>17</v>
      </c>
      <c r="E20" s="38" t="n">
        <v>4.93</v>
      </c>
      <c r="F20" s="29" t="n">
        <v>461.16</v>
      </c>
      <c r="G20" s="40" t="b">
        <v>1</v>
      </c>
      <c r="H20" s="17" t="inlineStr">
        <is>
          <t>TP</t>
        </is>
      </c>
    </row>
    <row r="21">
      <c r="A21" s="36" t="inlineStr">
        <is>
          <t>TMPV</t>
        </is>
      </c>
      <c r="B21" s="37" t="n">
        <v>45944</v>
      </c>
      <c r="C21" s="37" t="n">
        <v>45964</v>
      </c>
      <c r="D21" s="19" t="n">
        <v>20</v>
      </c>
      <c r="E21" s="38" t="n">
        <v>5.24</v>
      </c>
      <c r="F21" s="29" t="n">
        <v>514.17</v>
      </c>
      <c r="G21" s="40" t="b">
        <v>1</v>
      </c>
      <c r="H21" s="17" t="inlineStr">
        <is>
          <t>TP</t>
        </is>
      </c>
    </row>
    <row r="22">
      <c r="A22" s="36" t="inlineStr">
        <is>
          <t>TCS</t>
        </is>
      </c>
      <c r="B22" s="37" t="n">
        <v>45859</v>
      </c>
      <c r="C22" s="37" t="n">
        <v>45973</v>
      </c>
      <c r="D22" s="19" t="n">
        <v>114</v>
      </c>
      <c r="E22" s="38" t="n">
        <v>-0.67</v>
      </c>
      <c r="F22" s="29" t="n">
        <v>-60.55</v>
      </c>
      <c r="G22" s="39" t="b">
        <v>0</v>
      </c>
      <c r="H22" s="17" t="inlineStr">
        <is>
          <t>RSI</t>
        </is>
      </c>
    </row>
    <row r="23">
      <c r="A23" s="36" t="inlineStr">
        <is>
          <t>TMPV</t>
        </is>
      </c>
      <c r="B23" s="37" t="n">
        <v>45965</v>
      </c>
      <c r="C23" s="37" t="n">
        <v>45980</v>
      </c>
      <c r="D23" s="19" t="n">
        <v>15</v>
      </c>
      <c r="E23" s="38" t="n">
        <v>-11.42</v>
      </c>
      <c r="F23" s="29" t="n">
        <v>-1104.85</v>
      </c>
      <c r="G23" s="39" t="b">
        <v>0</v>
      </c>
      <c r="H23" s="17" t="inlineStr">
        <is>
          <t>SL</t>
        </is>
      </c>
    </row>
    <row r="24">
      <c r="A24" s="36" t="inlineStr">
        <is>
          <t>TRENT</t>
        </is>
      </c>
      <c r="B24" s="37" t="n">
        <v>45925</v>
      </c>
      <c r="C24" s="37" t="n">
        <v>45986</v>
      </c>
      <c r="D24" s="19" t="n">
        <v>61</v>
      </c>
      <c r="E24" s="38" t="n">
        <v>-10.7</v>
      </c>
      <c r="F24" s="29" t="n">
        <v>-1013.67</v>
      </c>
      <c r="G24" s="39" t="b">
        <v>0</v>
      </c>
      <c r="H24" s="17" t="inlineStr">
        <is>
          <t>SL</t>
        </is>
      </c>
    </row>
    <row r="25">
      <c r="A25" s="36" t="inlineStr">
        <is>
          <t>TRENT</t>
        </is>
      </c>
      <c r="B25" s="37" t="n">
        <v>46001</v>
      </c>
      <c r="C25" s="37" t="n">
        <v>46015</v>
      </c>
      <c r="D25" s="19" t="n">
        <v>14</v>
      </c>
      <c r="E25" s="38" t="n">
        <v>6.54</v>
      </c>
      <c r="F25" s="29" t="n">
        <v>525.21</v>
      </c>
      <c r="G25" s="40" t="b">
        <v>1</v>
      </c>
      <c r="H25" s="17" t="inlineStr">
        <is>
          <t>TP</t>
        </is>
      </c>
    </row>
    <row r="26">
      <c r="A26" s="26" t="inlineStr">
        <is>
          <t>TOTAL / AVG:</t>
        </is>
      </c>
      <c r="E26" s="41">
        <f>AVERAGE(E2:E25)</f>
        <v/>
      </c>
      <c r="F26" s="42">
        <f>SUM(F2:F25)</f>
        <v/>
      </c>
    </row>
  </sheetData>
  <autoFilter ref="A1:H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2026-10-11T18:28:08Z</dcterms:created>
  <dcterms:modified xmlns:dcterms="http://purl.org/dc/terms/" xmlns:xsi="http://www.w3.org/2001/XMLSchema-instance" xsi:type="dcterms:W3CDTF">2026-10-11T18:28:09Z</dcterms:modified>
</cp:coreProperties>
</file>