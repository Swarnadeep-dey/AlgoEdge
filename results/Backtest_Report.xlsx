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de Analytics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quity Curve" sheetId="5" state="visible" r:id="rId5"/>
    <sheet xmlns:r="http://schemas.openxmlformats.org/officeDocument/2006/relationships" name="Benchmark" sheetId="6" state="visible" r:id="rId6"/>
  </sheets>
  <definedNames>
    <definedName name="_xlnm._FilterDatabase" localSheetId="2" hidden="1">'Trade Log'!$A$1:$H$44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[$₹-en-IN]#,##0.00"/>
    <numFmt numFmtId="166" formatCode="yyyy-mm-dd h:mm:ss"/>
    <numFmt numFmtId="167" formatCode="+0.00&quot;%&quot;;-0.00&quot;%&quot;;0.00&quot;%&quot;"/>
    <numFmt numFmtId="168" formatCode="0.0%"/>
    <numFmt numFmtId="169" formatCode="0&quot; days&quot;"/>
    <numFmt numFmtId="170" formatCode="0&quot;%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1A19"/>
      <sz val="10"/>
    </font>
    <font>
      <name val="Arial"/>
      <color rgb="001A1A19"/>
      <sz val="10"/>
    </font>
    <font>
      <name val="Arial"/>
      <color rgb="006B6A66"/>
      <sz val="10"/>
    </font>
    <font>
      <name val="Arial"/>
      <color rgb="00006100"/>
      <sz val="10"/>
    </font>
    <font>
      <name val="Arial"/>
      <color rgb="009C0006"/>
      <sz val="10"/>
    </font>
    <font>
      <name val="Arial"/>
      <b val="1"/>
      <color rgb="001F4E78"/>
      <sz val="22"/>
    </font>
    <font>
      <name val="Arial"/>
      <color rgb="006B6A66"/>
      <sz val="9"/>
    </font>
    <font>
      <name val="Arial"/>
      <b val="1"/>
      <color rgb="001A1A19"/>
      <sz val="18"/>
    </font>
    <font>
      <name val="Arial"/>
      <b val="1"/>
      <color rgb="001F4E78"/>
      <sz val="12"/>
    </font>
    <font>
      <name val="Arial"/>
      <i val="1"/>
      <color rgb="006B6A66"/>
      <sz val="9"/>
    </font>
    <font>
      <name val="Arial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3F5F8"/>
        <bgColor rgb="00F3F5F8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10">
    <border>
      <left/>
      <right/>
      <top/>
      <bottom/>
      <diagonal/>
    </border>
    <border>
      <left style="thin">
        <color rgb="00D4D8DE"/>
      </left>
      <right style="thin">
        <color rgb="00D4D8DE"/>
      </right>
      <top style="thin">
        <color rgb="00D4D8DE"/>
      </top>
      <bottom style="thin">
        <color rgb="00D4D8DE"/>
      </bottom>
    </border>
    <border>
      <left style="thin">
        <color rgb="00D4D8DE"/>
      </left>
      <right style="thin">
        <color rgb="00D4D8DE"/>
      </right>
      <top style="thin">
        <color rgb="00D4D8DE"/>
      </top>
    </border>
    <border>
      <left/>
      <right/>
      <top style="thin">
        <color rgb="00D4D8DE"/>
      </top>
      <bottom/>
      <diagonal/>
    </border>
    <border>
      <left/>
      <right style="thin">
        <color rgb="00D4D8DE"/>
      </right>
      <top style="thin">
        <color rgb="00D4D8DE"/>
      </top>
      <bottom/>
      <diagonal/>
    </border>
    <border>
      <left style="thin">
        <color rgb="00D4D8DE"/>
      </left>
      <right style="thin">
        <color rgb="00D4D8DE"/>
      </right>
    </border>
    <border>
      <left/>
      <right style="thin">
        <color rgb="00D4D8DE"/>
      </right>
      <top/>
      <bottom/>
      <diagonal/>
    </border>
    <border>
      <left style="thin">
        <color rgb="00D4D8DE"/>
      </left>
      <right style="thin">
        <color rgb="00D4D8DE"/>
      </right>
      <bottom style="thin">
        <color rgb="00D4D8DE"/>
      </bottom>
    </border>
    <border>
      <left/>
      <right/>
      <top/>
      <bottom style="thin">
        <color rgb="00D4D8DE"/>
      </bottom>
      <diagonal/>
    </border>
    <border>
      <left/>
      <right style="thin">
        <color rgb="00D4D8DE"/>
      </right>
      <top/>
      <bottom style="thin">
        <color rgb="00D4D8DE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3" borderId="0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8" fillId="3" borderId="7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1" fontId="9" fillId="3" borderId="5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pivotButton="0" quotePrefix="0" xfId="0"/>
    <xf numFmtId="168" fontId="3" fillId="3" borderId="1" applyAlignment="1" pivotButton="0" quotePrefix="0" xfId="0">
      <alignment horizontal="center"/>
    </xf>
    <xf numFmtId="167" fontId="3" fillId="3" borderId="1" applyAlignment="1" pivotButton="0" quotePrefix="0" xfId="0">
      <alignment horizontal="center"/>
    </xf>
    <xf numFmtId="169" fontId="3" fillId="3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2" fillId="0" borderId="0" pivotButton="0" quotePrefix="0" xfId="0"/>
    <xf numFmtId="0" fontId="12" fillId="0" borderId="0" applyAlignment="1" pivotButton="0" quotePrefix="0" xfId="0">
      <alignment horizontal="center"/>
    </xf>
    <xf numFmtId="170" fontId="3" fillId="0" borderId="1" applyAlignment="1" pivotButton="0" quotePrefix="0" xfId="0">
      <alignment horizontal="center"/>
    </xf>
    <xf numFmtId="165" fontId="3" fillId="0" borderId="1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center"/>
    </xf>
    <xf numFmtId="167" fontId="3" fillId="0" borderId="1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167" fontId="2" fillId="0" borderId="0" pivotButton="0" quotePrefix="0" xfId="0"/>
    <xf numFmtId="165" fontId="2" fillId="0" borderId="0" pivotButton="0" quotePrefix="0" xfId="0"/>
    <xf numFmtId="0" fontId="4" fillId="0" borderId="1" pivotButton="0" quotePrefix="0" xfId="0"/>
    <xf numFmtId="0" fontId="3" fillId="3" borderId="1" applyAlignment="1" pivotButton="0" quotePrefix="0" xfId="0">
      <alignment horizontal="center"/>
    </xf>
    <xf numFmtId="0" fontId="4" fillId="3" borderId="1" pivotButton="0" quotePrefix="0" xfId="0"/>
    <xf numFmtId="164" fontId="3" fillId="0" borderId="0" applyAlignment="1" pivotButton="0" quotePrefix="0" xfId="0">
      <alignment horizontal="center"/>
    </xf>
    <xf numFmtId="165" fontId="3" fillId="0" borderId="0" pivotButton="0" quotePrefix="0" xfId="0"/>
    <xf numFmtId="1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'Benchmark'!B1</f>
            </strRef>
          </tx>
          <spPr>
            <a:ln xmlns:a="http://schemas.openxmlformats.org/drawingml/2006/main" w="2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'Benchmark'!$A$2:$A$441</f>
            </numRef>
          </cat>
          <val>
            <numRef>
              <f>'Benchmark'!$B$2:$B$441</f>
            </numRef>
          </val>
          <smooth val="0"/>
        </ser>
        <ser>
          <idx val="1"/>
          <order val="1"/>
          <tx>
            <strRef>
              <f>'Benchmark'!C1</f>
            </strRef>
          </tx>
          <spPr>
            <a:ln xmlns:a="http://schemas.openxmlformats.org/drawingml/2006/main" w="2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'Benchmark'!$A$2:$A$441</f>
            </numRef>
          </cat>
          <val>
            <numRef>
              <f>'Benchmark'!$C$2:$C$441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115000"/>
          <min val="90000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50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Drawdown from previous peak</a:t>
            </a:r>
          </a:p>
        </rich>
      </tx>
    </title>
    <plotArea>
      <areaChart>
        <grouping val="standard"/>
        <ser>
          <idx val="0"/>
          <order val="0"/>
          <tx>
            <strRef>
              <f>'Equity Curve'!C1</f>
            </strRef>
          </tx>
          <spPr>
            <a:solidFill xmlns:a="http://schemas.openxmlformats.org/drawingml/2006/main">
              <a:srgbClr val="F2B8B8"/>
            </a:solidFill>
            <a:ln xmlns:a="http://schemas.openxmlformats.org/drawingml/2006/main">
              <a:solidFill>
                <a:srgbClr val="E34948"/>
              </a:solidFill>
              <a:prstDash val="solid"/>
            </a:ln>
          </spPr>
          <cat>
            <numRef>
              <f>'Equity Curve'!$A$2:$A$441</f>
            </numRef>
          </cat>
          <val>
            <numRef>
              <f>'Equity Curve'!$C$2:$C$441</f>
            </numRef>
          </val>
        </ser>
        <axId val="500"/>
        <axId val="100"/>
      </areaChart>
      <dateAx>
        <axId val="500"/>
        <scaling>
          <orientation val="minMax"/>
        </scaling>
        <delete val="0"/>
        <axPos val="l"/>
        <numFmt formatCode="mmm-yy" sourceLinked="0"/>
        <majorTickMark val="none"/>
        <minorTickMark val="none"/>
        <tickLblPos val="low"/>
        <crossAx val="100"/>
        <majorUnit val="3"/>
        <majorTimeUnit val="months"/>
      </dateAx>
      <valAx>
        <axId val="100"/>
        <scaling>
          <orientation val="minMax"/>
          <max val="0"/>
          <min val="-0.105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5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How trades ended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'Trade Analytics'!C5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'Trade Analytics'!$B$6:$B$8</f>
            </numRef>
          </cat>
          <val>
            <numRef>
              <f>'Trade Analytics'!$C$6:$C$8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majorTickMark val="none"/>
        <minorTickMark val="none"/>
        <crossAx val="10"/>
        <crosses val="max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per trade, net of costs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'Trade Analytics'!C25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solidFill>
                <a:srgbClr val="E34948"/>
              </a:solidFill>
              <a:prstDash val="solid"/>
            </a:ln>
          </spPr>
          <cat>
            <numRef>
              <f>'Trade Analytics'!$B$26:$B$41</f>
            </numRef>
          </cat>
          <val>
            <numRef>
              <f>'Trade Analytics'!$C$26:$C$41</f>
            </numRef>
          </val>
        </ser>
        <ser>
          <idx val="1"/>
          <order val="1"/>
          <tx>
            <strRef>
              <f>'Trade Analytics'!D25</f>
            </strRef>
          </tx>
          <spPr>
            <a:solidFill xmlns:a="http://schemas.openxmlformats.org/drawingml/2006/main">
              <a:srgbClr val="0CA30C"/>
            </a:solidFill>
            <a:ln xmlns:a="http://schemas.openxmlformats.org/drawingml/2006/main">
              <a:solidFill>
                <a:srgbClr val="0CA30C"/>
              </a:solidFill>
              <a:prstDash val="solid"/>
            </a:ln>
          </spPr>
          <cat>
            <numRef>
              <f>'Trade Analytics'!$B$26:$B$41</f>
            </numRef>
          </cat>
          <val>
            <numRef>
              <f>'Trade Analytics'!$D$26:$D$41</f>
            </numRef>
          </val>
        </ser>
        <gapWidth val="1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stock (₹)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'Trade Analytics'!D45</f>
            </strRef>
          </tx>
          <spPr>
            <a:solidFill xmlns:a="http://schemas.openxmlformats.org/drawingml/2006/main">
              <a:srgbClr val="0CA30C"/>
            </a:solidFill>
            <a:ln xmlns:a="http://schemas.openxmlformats.org/drawingml/2006/main">
              <a:solidFill>
                <a:srgbClr val="0CA30C"/>
              </a:solidFill>
              <a:prstDash val="solid"/>
            </a:ln>
          </spPr>
          <cat>
            <numRef>
              <f>'Trade Analytics'!$B$46:$B$77</f>
            </numRef>
          </cat>
          <val>
            <numRef>
              <f>'Trade Analytics'!$D$46:$D$77</f>
            </numRef>
          </val>
        </ser>
        <ser>
          <idx val="1"/>
          <order val="1"/>
          <tx>
            <strRef>
              <f>'Trade Analytics'!E45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solidFill>
                <a:srgbClr val="E34948"/>
              </a:solidFill>
              <a:prstDash val="solid"/>
            </a:ln>
          </spPr>
          <cat>
            <numRef>
              <f>'Trade Analytics'!$B$46:$B$77</f>
            </numRef>
          </cat>
          <val>
            <numRef>
              <f>'Trade Analytics'!$E$46:$E$77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1E0D9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1188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34</row>
      <rowOff>0</rowOff>
    </from>
    <ext cx="1188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3</row>
      <rowOff>0</rowOff>
    </from>
    <ext cx="540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22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43</row>
      <rowOff>0</rowOff>
    </from>
    <ext cx="7200000" cy="67104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1:T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.5" customWidth="1" min="5" max="5"/>
    <col width="11" customWidth="1" min="6" max="6"/>
    <col width="11" customWidth="1" min="7" max="7"/>
    <col width="11" customWidth="1" min="8" max="8"/>
    <col width="1.5" customWidth="1" min="9" max="9"/>
    <col width="11" customWidth="1" min="10" max="10"/>
    <col width="11" customWidth="1" min="11" max="11"/>
    <col width="11" customWidth="1" min="12" max="12"/>
    <col width="1.5" customWidth="1" min="13" max="13"/>
    <col width="11" customWidth="1" min="14" max="14"/>
    <col width="11" customWidth="1" min="15" max="15"/>
    <col width="11" customWidth="1" min="16" max="16"/>
    <col width="1.5" customWidth="1" min="17" max="17"/>
    <col width="11" customWidth="1" min="18" max="18"/>
    <col width="11" customWidth="1" min="19" max="19"/>
    <col width="11" customWidth="1" min="20" max="20"/>
  </cols>
  <sheetData>
    <row r="1" ht="34" customHeight="1">
      <c r="B1" s="1" t="inlineStr">
        <is>
          <t>AlgoEdge Backtest Report</t>
        </is>
      </c>
    </row>
    <row r="2" ht="18" customHeight="1">
      <c r="B2" s="2" t="inlineStr">
        <is>
          <t>Test window 01 Jan 2025 to 09 Oct 2026  |  Generated 12 Oct 2026, 01:40 AM</t>
        </is>
      </c>
    </row>
    <row r="3" ht="20" customHeight="1">
      <c r="B3" s="3" t="inlineStr">
        <is>
          <t>Entry RSI &lt; 35 and Price &gt; 200 SMA  |  Exit: +5% take-profit, -10% stop-loss or RSI &gt; 60  |  10% of capital per trade, 0.10% commission per side  |  Benchmark: NIFTYBEES.NS</t>
        </is>
      </c>
    </row>
    <row r="4" ht="8" customHeight="1"/>
    <row r="5" ht="17" customHeight="1">
      <c r="B5" s="4" t="inlineStr">
        <is>
          <t>Final value</t>
        </is>
      </c>
      <c r="C5" s="5" t="n"/>
      <c r="D5" s="6" t="n"/>
      <c r="F5" s="4" t="inlineStr">
        <is>
          <t>CAGR</t>
        </is>
      </c>
      <c r="G5" s="5" t="n"/>
      <c r="H5" s="6" t="n"/>
      <c r="J5" s="4" t="inlineStr">
        <is>
          <t>Max drawdown</t>
        </is>
      </c>
      <c r="K5" s="5" t="n"/>
      <c r="L5" s="6" t="n"/>
      <c r="N5" s="4" t="inlineStr">
        <is>
          <t>Sharpe ratio</t>
        </is>
      </c>
      <c r="O5" s="5" t="n"/>
      <c r="P5" s="6" t="n"/>
      <c r="R5" s="4" t="inlineStr">
        <is>
          <t>Profit factor</t>
        </is>
      </c>
      <c r="S5" s="5" t="n"/>
      <c r="T5" s="6" t="n"/>
    </row>
    <row r="6" ht="32" customHeight="1">
      <c r="B6" s="7">
        <f>'Executive Summary'!B3</f>
        <v/>
      </c>
      <c r="D6" s="8" t="n"/>
      <c r="F6" s="7">
        <f>'Executive Summary'!B4</f>
        <v/>
      </c>
      <c r="H6" s="8" t="n"/>
      <c r="J6" s="7">
        <f>'Executive Summary'!B8</f>
        <v/>
      </c>
      <c r="L6" s="8" t="n"/>
      <c r="N6" s="7">
        <f>'Executive Summary'!B6</f>
        <v/>
      </c>
      <c r="P6" s="8" t="n"/>
      <c r="R6" s="7">
        <f>'Executive Summary'!B9</f>
        <v/>
      </c>
      <c r="T6" s="8" t="n"/>
    </row>
    <row r="7" ht="17" customHeight="1">
      <c r="B7" s="9">
        <f>"Return: "&amp;TEXT('Equity Curve'!B441/'Equity Curve'!B2-1,"+0.00%;-0.00%")</f>
        <v/>
      </c>
      <c r="C7" s="10" t="n"/>
      <c r="D7" s="11" t="n"/>
      <c r="F7" s="9" t="inlineStr">
        <is>
          <t>annual growth rate</t>
        </is>
      </c>
      <c r="G7" s="10" t="n"/>
      <c r="H7" s="11" t="n"/>
      <c r="J7" s="9" t="inlineStr">
        <is>
          <t>worst peak-to-trough fall</t>
        </is>
      </c>
      <c r="K7" s="10" t="n"/>
      <c r="L7" s="11" t="n"/>
      <c r="N7" s="9" t="inlineStr">
        <is>
          <t>vs 5% risk-free rate</t>
        </is>
      </c>
      <c r="O7" s="10" t="n"/>
      <c r="P7" s="11" t="n"/>
      <c r="R7" s="9" t="inlineStr">
        <is>
          <t>gross profit / gross loss</t>
        </is>
      </c>
      <c r="S7" s="10" t="n"/>
      <c r="T7" s="11" t="n"/>
    </row>
    <row r="8" ht="8" customHeight="1"/>
    <row r="9" ht="17" customHeight="1">
      <c r="B9" s="4" t="inlineStr">
        <is>
          <t>Volatility (ann.)</t>
        </is>
      </c>
      <c r="C9" s="5" t="n"/>
      <c r="D9" s="6" t="n"/>
      <c r="F9" s="4" t="inlineStr">
        <is>
          <t>Sortino ratio</t>
        </is>
      </c>
      <c r="G9" s="5" t="n"/>
      <c r="H9" s="6" t="n"/>
      <c r="J9" s="4" t="inlineStr">
        <is>
          <t>Beta</t>
        </is>
      </c>
      <c r="K9" s="5" t="n"/>
      <c r="L9" s="6" t="n"/>
      <c r="N9" s="4" t="inlineStr">
        <is>
          <t>Alpha (annualized)</t>
        </is>
      </c>
      <c r="O9" s="5" t="n"/>
      <c r="P9" s="6" t="n"/>
      <c r="R9" s="4" t="inlineStr">
        <is>
          <t>Trades</t>
        </is>
      </c>
      <c r="S9" s="5" t="n"/>
      <c r="T9" s="6" t="n"/>
    </row>
    <row r="10" ht="32" customHeight="1">
      <c r="B10" s="7">
        <f>'Executive Summary'!B5</f>
        <v/>
      </c>
      <c r="D10" s="8" t="n"/>
      <c r="F10" s="7">
        <f>'Executive Summary'!B7</f>
        <v/>
      </c>
      <c r="H10" s="8" t="n"/>
      <c r="J10" s="7">
        <f>'Executive Summary'!B10</f>
        <v/>
      </c>
      <c r="L10" s="8" t="n"/>
      <c r="N10" s="7">
        <f>'Executive Summary'!B11</f>
        <v/>
      </c>
      <c r="P10" s="8" t="n"/>
      <c r="R10" s="12">
        <f>COUNT('Trade Log'!E2:E44)</f>
        <v/>
      </c>
      <c r="T10" s="8" t="n"/>
    </row>
    <row r="11" ht="17" customHeight="1">
      <c r="B11" s="9" t="inlineStr">
        <is>
          <t>std dev of daily returns</t>
        </is>
      </c>
      <c r="C11" s="10" t="n"/>
      <c r="D11" s="11" t="n"/>
      <c r="F11" s="9" t="inlineStr">
        <is>
          <t>penalises downside only</t>
        </is>
      </c>
      <c r="G11" s="10" t="n"/>
      <c r="H11" s="11" t="n"/>
      <c r="J11" s="9" t="inlineStr">
        <is>
          <t>vs NIFTYBEES.NS</t>
        </is>
      </c>
      <c r="K11" s="10" t="n"/>
      <c r="L11" s="11" t="n"/>
      <c r="N11" s="9" t="inlineStr">
        <is>
          <t>return beyond market exposure</t>
        </is>
      </c>
      <c r="O11" s="10" t="n"/>
      <c r="P11" s="11" t="n"/>
      <c r="R11" s="9">
        <f>TEXT(COUNTIF('Trade Log'!E2:E44,"&gt;0")/COUNT('Trade Log'!E2:E44),"0%")&amp;" win rate"</f>
        <v/>
      </c>
      <c r="S11" s="10" t="n"/>
      <c r="T11" s="11" t="n"/>
    </row>
    <row r="12" ht="10" customHeight="1"/>
    <row r="13" ht="22" customHeight="1">
      <c r="B13" s="13" t="inlineStr">
        <is>
          <t>Portfolio value vs benchmark</t>
        </is>
      </c>
    </row>
    <row r="32">
      <c r="B32" s="14">
        <f>"Strategy "&amp;TEXT(Benchmark!B441/Benchmark!B2-1,"+0.00%;-0.00%")&amp;" vs NIFTYBEES.NS "&amp;TEXT(Benchmark!C441/Benchmark!C2-1,"+0.00%;-0.00%")&amp;" over the same window. The strategy is invested only part of the time, so it lags in strong rallies."</f>
        <v/>
      </c>
    </row>
    <row r="34" ht="22" customHeight="1">
      <c r="B34" s="13" t="inlineStr">
        <is>
          <t>Drawdown</t>
        </is>
      </c>
    </row>
  </sheetData>
  <mergeCells count="31">
    <mergeCell ref="B11:D11"/>
    <mergeCell ref="J6:L6"/>
    <mergeCell ref="F5:H5"/>
    <mergeCell ref="N5:P5"/>
    <mergeCell ref="J11:L11"/>
    <mergeCell ref="J7:L7"/>
    <mergeCell ref="B10:D10"/>
    <mergeCell ref="N10:P10"/>
    <mergeCell ref="B9:D9"/>
    <mergeCell ref="N9:P9"/>
    <mergeCell ref="F9:H9"/>
    <mergeCell ref="B6:D6"/>
    <mergeCell ref="N6:P6"/>
    <mergeCell ref="B3:T3"/>
    <mergeCell ref="B5:D5"/>
    <mergeCell ref="R5:T5"/>
    <mergeCell ref="R9:T9"/>
    <mergeCell ref="B7:D7"/>
    <mergeCell ref="F11:H11"/>
    <mergeCell ref="N11:P11"/>
    <mergeCell ref="J5:L5"/>
    <mergeCell ref="N7:P7"/>
    <mergeCell ref="F10:H10"/>
    <mergeCell ref="F6:H6"/>
    <mergeCell ref="R11:T11"/>
    <mergeCell ref="J10:L10"/>
    <mergeCell ref="R10:T10"/>
    <mergeCell ref="F7:H7"/>
    <mergeCell ref="J9:L9"/>
    <mergeCell ref="R7:T7"/>
    <mergeCell ref="R6:T6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1:E7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3" customWidth="1" min="6" max="6"/>
  </cols>
  <sheetData>
    <row r="1" ht="34" customHeight="1">
      <c r="B1" s="1" t="inlineStr">
        <is>
          <t>Trade analytics</t>
        </is>
      </c>
    </row>
    <row r="2" ht="18" customHeight="1">
      <c r="B2" s="2" t="inlineStr">
        <is>
          <t>All figures are formulas on the Trade Log sheet, so they update with it.</t>
        </is>
      </c>
    </row>
    <row r="4" ht="22" customHeight="1">
      <c r="B4" s="13" t="inlineStr">
        <is>
          <t>How trades ended</t>
        </is>
      </c>
    </row>
    <row r="5" ht="22" customHeight="1">
      <c r="B5" s="15" t="inlineStr">
        <is>
          <t>Exit</t>
        </is>
      </c>
      <c r="C5" s="15" t="inlineStr">
        <is>
          <t>Trades</t>
        </is>
      </c>
      <c r="D5" s="15" t="inlineStr">
        <is>
          <t>Avg return (%)</t>
        </is>
      </c>
    </row>
    <row r="6">
      <c r="B6" s="16" t="inlineStr">
        <is>
          <t>Take-profit</t>
        </is>
      </c>
      <c r="C6" s="17">
        <f>COUNTIF('Trade Log'!$H$2:$H$44,"TP")</f>
        <v/>
      </c>
      <c r="D6" s="18">
        <f>IFERROR(AVERAGEIF('Trade Log'!$H$2:$H$44,"TP",'Trade Log'!$E$2:$E$44),0)</f>
        <v/>
      </c>
    </row>
    <row r="7">
      <c r="B7" s="16" t="inlineStr">
        <is>
          <t>Stop-loss</t>
        </is>
      </c>
      <c r="C7" s="17">
        <f>COUNTIF('Trade Log'!$H$2:$H$44,"SL")</f>
        <v/>
      </c>
      <c r="D7" s="18">
        <f>IFERROR(AVERAGEIF('Trade Log'!$H$2:$H$44,"SL",'Trade Log'!$E$2:$E$44),0)</f>
        <v/>
      </c>
    </row>
    <row r="8">
      <c r="B8" s="16" t="inlineStr">
        <is>
          <t>RSI exit</t>
        </is>
      </c>
      <c r="C8" s="17">
        <f>COUNTIF('Trade Log'!$H$2:$H$44,"RSI")</f>
        <v/>
      </c>
      <c r="D8" s="18">
        <f>IFERROR(AVERAGEIF('Trade Log'!$H$2:$H$44,"RSI",'Trade Log'!$E$2:$E$44),0)</f>
        <v/>
      </c>
    </row>
    <row r="11" ht="22" customHeight="1">
      <c r="B11" s="13" t="inlineStr">
        <is>
          <t>Trade summary</t>
        </is>
      </c>
    </row>
    <row r="12">
      <c r="B12" s="16" t="inlineStr">
        <is>
          <t>Total trades</t>
        </is>
      </c>
      <c r="C12" s="19">
        <f>COUNT('Trade Log'!$E$2:$E$44)</f>
        <v/>
      </c>
      <c r="D12" s="20" t="n"/>
    </row>
    <row r="13">
      <c r="B13" s="21" t="inlineStr">
        <is>
          <t>Win rate</t>
        </is>
      </c>
      <c r="C13" s="22">
        <f>COUNTIF('Trade Log'!$E$2:$E$44,"&gt;0")/COUNT('Trade Log'!$E$2:$E$44)</f>
        <v/>
      </c>
      <c r="D13" s="20" t="n"/>
    </row>
    <row r="14">
      <c r="B14" s="16" t="inlineStr">
        <is>
          <t>Average win</t>
        </is>
      </c>
      <c r="C14" s="18">
        <f>IFERROR(AVERAGEIF('Trade Log'!$E$2:$E$44,"&gt;0"),0)</f>
        <v/>
      </c>
      <c r="D14" s="20" t="n"/>
    </row>
    <row r="15">
      <c r="B15" s="21" t="inlineStr">
        <is>
          <t>Average loss</t>
        </is>
      </c>
      <c r="C15" s="23">
        <f>IFERROR(AVERAGEIF('Trade Log'!$E$2:$E$44,"&lt;=0"),0)</f>
        <v/>
      </c>
      <c r="D15" s="20" t="n"/>
    </row>
    <row r="16">
      <c r="B16" s="16" t="inlineStr">
        <is>
          <t>Best trade</t>
        </is>
      </c>
      <c r="C16" s="18">
        <f>MAX('Trade Log'!$E$2:$E$44)</f>
        <v/>
      </c>
      <c r="D16" s="20" t="n"/>
    </row>
    <row r="17">
      <c r="B17" s="21" t="inlineStr">
        <is>
          <t>Worst trade</t>
        </is>
      </c>
      <c r="C17" s="23">
        <f>MIN('Trade Log'!$E$2:$E$44)</f>
        <v/>
      </c>
      <c r="D17" s="20" t="n"/>
    </row>
    <row r="18">
      <c r="B18" s="16" t="inlineStr">
        <is>
          <t>Average per trade</t>
        </is>
      </c>
      <c r="C18" s="18">
        <f>AVERAGE('Trade Log'!$E$2:$E$44)</f>
        <v/>
      </c>
      <c r="D18" s="20" t="n"/>
    </row>
    <row r="19">
      <c r="B19" s="21" t="inlineStr">
        <is>
          <t>Average holding period</t>
        </is>
      </c>
      <c r="C19" s="24">
        <f>AVERAGE('Trade Log'!$D$2:$D$44)</f>
        <v/>
      </c>
      <c r="D19" s="20" t="n"/>
    </row>
    <row r="20">
      <c r="B20" s="16" t="inlineStr">
        <is>
          <t>Total profit</t>
        </is>
      </c>
      <c r="C20" s="25">
        <f>SUM('Trade Log'!$F$2:$F$44)</f>
        <v/>
      </c>
      <c r="D20" s="20" t="n"/>
    </row>
    <row r="23" ht="22" customHeight="1">
      <c r="B23" s="13" t="inlineStr">
        <is>
          <t>Distribution of trade returns</t>
        </is>
      </c>
    </row>
    <row r="24">
      <c r="B24" s="26" t="inlineStr">
        <is>
          <t>Bin width (%)</t>
        </is>
      </c>
      <c r="C24" s="27" t="n">
        <v>1</v>
      </c>
      <c r="D24" s="14" t="inlineStr">
        <is>
          <t>(edit to re-bin)</t>
        </is>
      </c>
    </row>
    <row r="25" ht="22" customHeight="1">
      <c r="B25" s="15" t="inlineStr">
        <is>
          <t>Bin start (%)</t>
        </is>
      </c>
      <c r="C25" s="15" t="inlineStr">
        <is>
          <t>Losses</t>
        </is>
      </c>
      <c r="D25" s="15" t="inlineStr">
        <is>
          <t>Wins</t>
        </is>
      </c>
    </row>
    <row r="26">
      <c r="B26" s="28" t="n">
        <v>-11</v>
      </c>
      <c r="C26" s="17">
        <f>IF($B26&lt;0,COUNTIFS('Trade Log'!$E$2:$E$44,"&gt;="&amp;$B26,'Trade Log'!$E$2:$E$44,"&lt;"&amp;($B26+$C$24)),0)</f>
        <v/>
      </c>
      <c r="D26" s="17">
        <f>IF($B26&gt;=0,COUNTIFS('Trade Log'!$E$2:$E$44,"&gt;="&amp;$B26,'Trade Log'!$E$2:$E$44,"&lt;"&amp;($B26+$C$24)),0)</f>
        <v/>
      </c>
    </row>
    <row r="27">
      <c r="B27" s="28" t="n">
        <v>-10</v>
      </c>
      <c r="C27" s="17">
        <f>IF($B27&lt;0,COUNTIFS('Trade Log'!$E$2:$E$44,"&gt;="&amp;$B27,'Trade Log'!$E$2:$E$44,"&lt;"&amp;($B27+$C$24)),0)</f>
        <v/>
      </c>
      <c r="D27" s="17">
        <f>IF($B27&gt;=0,COUNTIFS('Trade Log'!$E$2:$E$44,"&gt;="&amp;$B27,'Trade Log'!$E$2:$E$44,"&lt;"&amp;($B27+$C$24)),0)</f>
        <v/>
      </c>
    </row>
    <row r="28">
      <c r="B28" s="28" t="n">
        <v>-9</v>
      </c>
      <c r="C28" s="17">
        <f>IF($B28&lt;0,COUNTIFS('Trade Log'!$E$2:$E$44,"&gt;="&amp;$B28,'Trade Log'!$E$2:$E$44,"&lt;"&amp;($B28+$C$24)),0)</f>
        <v/>
      </c>
      <c r="D28" s="17">
        <f>IF($B28&gt;=0,COUNTIFS('Trade Log'!$E$2:$E$44,"&gt;="&amp;$B28,'Trade Log'!$E$2:$E$44,"&lt;"&amp;($B28+$C$24)),0)</f>
        <v/>
      </c>
    </row>
    <row r="29">
      <c r="B29" s="28" t="n">
        <v>-8</v>
      </c>
      <c r="C29" s="17">
        <f>IF($B29&lt;0,COUNTIFS('Trade Log'!$E$2:$E$44,"&gt;="&amp;$B29,'Trade Log'!$E$2:$E$44,"&lt;"&amp;($B29+$C$24)),0)</f>
        <v/>
      </c>
      <c r="D29" s="17">
        <f>IF($B29&gt;=0,COUNTIFS('Trade Log'!$E$2:$E$44,"&gt;="&amp;$B29,'Trade Log'!$E$2:$E$44,"&lt;"&amp;($B29+$C$24)),0)</f>
        <v/>
      </c>
    </row>
    <row r="30">
      <c r="B30" s="28" t="n">
        <v>-7</v>
      </c>
      <c r="C30" s="17">
        <f>IF($B30&lt;0,COUNTIFS('Trade Log'!$E$2:$E$44,"&gt;="&amp;$B30,'Trade Log'!$E$2:$E$44,"&lt;"&amp;($B30+$C$24)),0)</f>
        <v/>
      </c>
      <c r="D30" s="17">
        <f>IF($B30&gt;=0,COUNTIFS('Trade Log'!$E$2:$E$44,"&gt;="&amp;$B30,'Trade Log'!$E$2:$E$44,"&lt;"&amp;($B30+$C$24)),0)</f>
        <v/>
      </c>
    </row>
    <row r="31">
      <c r="B31" s="28" t="n">
        <v>-6</v>
      </c>
      <c r="C31" s="17">
        <f>IF($B31&lt;0,COUNTIFS('Trade Log'!$E$2:$E$44,"&gt;="&amp;$B31,'Trade Log'!$E$2:$E$44,"&lt;"&amp;($B31+$C$24)),0)</f>
        <v/>
      </c>
      <c r="D31" s="17">
        <f>IF($B31&gt;=0,COUNTIFS('Trade Log'!$E$2:$E$44,"&gt;="&amp;$B31,'Trade Log'!$E$2:$E$44,"&lt;"&amp;($B31+$C$24)),0)</f>
        <v/>
      </c>
    </row>
    <row r="32">
      <c r="B32" s="28" t="n">
        <v>-5</v>
      </c>
      <c r="C32" s="17">
        <f>IF($B32&lt;0,COUNTIFS('Trade Log'!$E$2:$E$44,"&gt;="&amp;$B32,'Trade Log'!$E$2:$E$44,"&lt;"&amp;($B32+$C$24)),0)</f>
        <v/>
      </c>
      <c r="D32" s="17">
        <f>IF($B32&gt;=0,COUNTIFS('Trade Log'!$E$2:$E$44,"&gt;="&amp;$B32,'Trade Log'!$E$2:$E$44,"&lt;"&amp;($B32+$C$24)),0)</f>
        <v/>
      </c>
    </row>
    <row r="33">
      <c r="B33" s="28" t="n">
        <v>-4</v>
      </c>
      <c r="C33" s="17">
        <f>IF($B33&lt;0,COUNTIFS('Trade Log'!$E$2:$E$44,"&gt;="&amp;$B33,'Trade Log'!$E$2:$E$44,"&lt;"&amp;($B33+$C$24)),0)</f>
        <v/>
      </c>
      <c r="D33" s="17">
        <f>IF($B33&gt;=0,COUNTIFS('Trade Log'!$E$2:$E$44,"&gt;="&amp;$B33,'Trade Log'!$E$2:$E$44,"&lt;"&amp;($B33+$C$24)),0)</f>
        <v/>
      </c>
    </row>
    <row r="34">
      <c r="B34" s="28" t="n">
        <v>-3</v>
      </c>
      <c r="C34" s="17">
        <f>IF($B34&lt;0,COUNTIFS('Trade Log'!$E$2:$E$44,"&gt;="&amp;$B34,'Trade Log'!$E$2:$E$44,"&lt;"&amp;($B34+$C$24)),0)</f>
        <v/>
      </c>
      <c r="D34" s="17">
        <f>IF($B34&gt;=0,COUNTIFS('Trade Log'!$E$2:$E$44,"&gt;="&amp;$B34,'Trade Log'!$E$2:$E$44,"&lt;"&amp;($B34+$C$24)),0)</f>
        <v/>
      </c>
    </row>
    <row r="35">
      <c r="B35" s="28" t="n">
        <v>-2</v>
      </c>
      <c r="C35" s="17">
        <f>IF($B35&lt;0,COUNTIFS('Trade Log'!$E$2:$E$44,"&gt;="&amp;$B35,'Trade Log'!$E$2:$E$44,"&lt;"&amp;($B35+$C$24)),0)</f>
        <v/>
      </c>
      <c r="D35" s="17">
        <f>IF($B35&gt;=0,COUNTIFS('Trade Log'!$E$2:$E$44,"&gt;="&amp;$B35,'Trade Log'!$E$2:$E$44,"&lt;"&amp;($B35+$C$24)),0)</f>
        <v/>
      </c>
    </row>
    <row r="36">
      <c r="B36" s="28" t="n">
        <v>-1</v>
      </c>
      <c r="C36" s="17">
        <f>IF($B36&lt;0,COUNTIFS('Trade Log'!$E$2:$E$44,"&gt;="&amp;$B36,'Trade Log'!$E$2:$E$44,"&lt;"&amp;($B36+$C$24)),0)</f>
        <v/>
      </c>
      <c r="D36" s="17">
        <f>IF($B36&gt;=0,COUNTIFS('Trade Log'!$E$2:$E$44,"&gt;="&amp;$B36,'Trade Log'!$E$2:$E$44,"&lt;"&amp;($B36+$C$24)),0)</f>
        <v/>
      </c>
    </row>
    <row r="37">
      <c r="B37" s="28" t="n">
        <v>0</v>
      </c>
      <c r="C37" s="17">
        <f>IF($B37&lt;0,COUNTIFS('Trade Log'!$E$2:$E$44,"&gt;="&amp;$B37,'Trade Log'!$E$2:$E$44,"&lt;"&amp;($B37+$C$24)),0)</f>
        <v/>
      </c>
      <c r="D37" s="17">
        <f>IF($B37&gt;=0,COUNTIFS('Trade Log'!$E$2:$E$44,"&gt;="&amp;$B37,'Trade Log'!$E$2:$E$44,"&lt;"&amp;($B37+$C$24)),0)</f>
        <v/>
      </c>
    </row>
    <row r="38">
      <c r="B38" s="28" t="n">
        <v>1</v>
      </c>
      <c r="C38" s="17">
        <f>IF($B38&lt;0,COUNTIFS('Trade Log'!$E$2:$E$44,"&gt;="&amp;$B38,'Trade Log'!$E$2:$E$44,"&lt;"&amp;($B38+$C$24)),0)</f>
        <v/>
      </c>
      <c r="D38" s="17">
        <f>IF($B38&gt;=0,COUNTIFS('Trade Log'!$E$2:$E$44,"&gt;="&amp;$B38,'Trade Log'!$E$2:$E$44,"&lt;"&amp;($B38+$C$24)),0)</f>
        <v/>
      </c>
    </row>
    <row r="39">
      <c r="B39" s="28" t="n">
        <v>2</v>
      </c>
      <c r="C39" s="17">
        <f>IF($B39&lt;0,COUNTIFS('Trade Log'!$E$2:$E$44,"&gt;="&amp;$B39,'Trade Log'!$E$2:$E$44,"&lt;"&amp;($B39+$C$24)),0)</f>
        <v/>
      </c>
      <c r="D39" s="17">
        <f>IF($B39&gt;=0,COUNTIFS('Trade Log'!$E$2:$E$44,"&gt;="&amp;$B39,'Trade Log'!$E$2:$E$44,"&lt;"&amp;($B39+$C$24)),0)</f>
        <v/>
      </c>
    </row>
    <row r="40">
      <c r="B40" s="28" t="n">
        <v>3</v>
      </c>
      <c r="C40" s="17">
        <f>IF($B40&lt;0,COUNTIFS('Trade Log'!$E$2:$E$44,"&gt;="&amp;$B40,'Trade Log'!$E$2:$E$44,"&lt;"&amp;($B40+$C$24)),0)</f>
        <v/>
      </c>
      <c r="D40" s="17">
        <f>IF($B40&gt;=0,COUNTIFS('Trade Log'!$E$2:$E$44,"&gt;="&amp;$B40,'Trade Log'!$E$2:$E$44,"&lt;"&amp;($B40+$C$24)),0)</f>
        <v/>
      </c>
    </row>
    <row r="41">
      <c r="B41" s="28" t="n">
        <v>4</v>
      </c>
      <c r="C41" s="17">
        <f>IF($B41&lt;0,COUNTIFS('Trade Log'!$E$2:$E$44,"&gt;="&amp;$B41,'Trade Log'!$E$2:$E$44,"&lt;"&amp;($B41+$C$24)),0)</f>
        <v/>
      </c>
      <c r="D41" s="17">
        <f>IF($B41&gt;=0,COUNTIFS('Trade Log'!$E$2:$E$44,"&gt;="&amp;$B41,'Trade Log'!$E$2:$E$44,"&lt;"&amp;($B41+$C$24)),0)</f>
        <v/>
      </c>
    </row>
    <row r="44" ht="22" customHeight="1">
      <c r="B44" s="13" t="inlineStr">
        <is>
          <t>Profit by stock</t>
        </is>
      </c>
    </row>
    <row r="45" ht="22" customHeight="1">
      <c r="B45" s="15" t="inlineStr">
        <is>
          <t>Ticker</t>
        </is>
      </c>
      <c r="C45" s="15" t="inlineStr">
        <is>
          <t>Profit (₹)</t>
        </is>
      </c>
      <c r="D45" s="15" t="inlineStr">
        <is>
          <t>Gain</t>
        </is>
      </c>
      <c r="E45" s="15" t="inlineStr">
        <is>
          <t>Loss</t>
        </is>
      </c>
    </row>
    <row r="46">
      <c r="B46" s="16" t="inlineStr">
        <is>
          <t>JSWSTEEL</t>
        </is>
      </c>
      <c r="C46" s="29">
        <f>SUMIF('Trade Log'!$A$2:$A$44,B46,'Trade Log'!$F$2:$F$44)</f>
        <v/>
      </c>
      <c r="D46" s="29">
        <f>IF(C46&gt;=0,C46,0)</f>
        <v/>
      </c>
      <c r="E46" s="29">
        <f>IF(C46&lt;0,C46,0)</f>
        <v/>
      </c>
    </row>
    <row r="47">
      <c r="B47" s="16" t="inlineStr">
        <is>
          <t>SBIN</t>
        </is>
      </c>
      <c r="C47" s="29">
        <f>SUMIF('Trade Log'!$A$2:$A$44,B47,'Trade Log'!$F$2:$F$44)</f>
        <v/>
      </c>
      <c r="D47" s="29">
        <f>IF(C47&gt;=0,C47,0)</f>
        <v/>
      </c>
      <c r="E47" s="29">
        <f>IF(C47&lt;0,C47,0)</f>
        <v/>
      </c>
    </row>
    <row r="48">
      <c r="B48" s="16" t="inlineStr">
        <is>
          <t>HINDALCO</t>
        </is>
      </c>
      <c r="C48" s="29">
        <f>SUMIF('Trade Log'!$A$2:$A$44,B48,'Trade Log'!$F$2:$F$44)</f>
        <v/>
      </c>
      <c r="D48" s="29">
        <f>IF(C48&gt;=0,C48,0)</f>
        <v/>
      </c>
      <c r="E48" s="29">
        <f>IF(C48&lt;0,C48,0)</f>
        <v/>
      </c>
    </row>
    <row r="49">
      <c r="B49" s="16" t="inlineStr">
        <is>
          <t>NESTLEIND</t>
        </is>
      </c>
      <c r="C49" s="29">
        <f>SUMIF('Trade Log'!$A$2:$A$44,B49,'Trade Log'!$F$2:$F$44)</f>
        <v/>
      </c>
      <c r="D49" s="29">
        <f>IF(C49&gt;=0,C49,0)</f>
        <v/>
      </c>
      <c r="E49" s="29">
        <f>IF(C49&lt;0,C49,0)</f>
        <v/>
      </c>
    </row>
    <row r="50">
      <c r="B50" s="16" t="inlineStr">
        <is>
          <t>ADANIPORTS</t>
        </is>
      </c>
      <c r="C50" s="29">
        <f>SUMIF('Trade Log'!$A$2:$A$44,B50,'Trade Log'!$F$2:$F$44)</f>
        <v/>
      </c>
      <c r="D50" s="29">
        <f>IF(C50&gt;=0,C50,0)</f>
        <v/>
      </c>
      <c r="E50" s="29">
        <f>IF(C50&lt;0,C50,0)</f>
        <v/>
      </c>
    </row>
    <row r="51">
      <c r="B51" s="16" t="inlineStr">
        <is>
          <t>BEL</t>
        </is>
      </c>
      <c r="C51" s="29">
        <f>SUMIF('Trade Log'!$A$2:$A$44,B51,'Trade Log'!$F$2:$F$44)</f>
        <v/>
      </c>
      <c r="D51" s="29">
        <f>IF(C51&gt;=0,C51,0)</f>
        <v/>
      </c>
      <c r="E51" s="29">
        <f>IF(C51&lt;0,C51,0)</f>
        <v/>
      </c>
    </row>
    <row r="52">
      <c r="B52" s="16" t="inlineStr">
        <is>
          <t>JIOFIN</t>
        </is>
      </c>
      <c r="C52" s="29">
        <f>SUMIF('Trade Log'!$A$2:$A$44,B52,'Trade Log'!$F$2:$F$44)</f>
        <v/>
      </c>
      <c r="D52" s="29">
        <f>IF(C52&gt;=0,C52,0)</f>
        <v/>
      </c>
      <c r="E52" s="29">
        <f>IF(C52&lt;0,C52,0)</f>
        <v/>
      </c>
    </row>
    <row r="53">
      <c r="B53" s="16" t="inlineStr">
        <is>
          <t>SUNPHARMA</t>
        </is>
      </c>
      <c r="C53" s="29">
        <f>SUMIF('Trade Log'!$A$2:$A$44,B53,'Trade Log'!$F$2:$F$44)</f>
        <v/>
      </c>
      <c r="D53" s="29">
        <f>IF(C53&gt;=0,C53,0)</f>
        <v/>
      </c>
      <c r="E53" s="29">
        <f>IF(C53&lt;0,C53,0)</f>
        <v/>
      </c>
    </row>
    <row r="54">
      <c r="B54" s="16" t="inlineStr">
        <is>
          <t>AXISBANK</t>
        </is>
      </c>
      <c r="C54" s="29">
        <f>SUMIF('Trade Log'!$A$2:$A$44,B54,'Trade Log'!$F$2:$F$44)</f>
        <v/>
      </c>
      <c r="D54" s="29">
        <f>IF(C54&gt;=0,C54,0)</f>
        <v/>
      </c>
      <c r="E54" s="29">
        <f>IF(C54&lt;0,C54,0)</f>
        <v/>
      </c>
    </row>
    <row r="55">
      <c r="B55" s="16" t="inlineStr">
        <is>
          <t>SHRIRAMFIN</t>
        </is>
      </c>
      <c r="C55" s="29">
        <f>SUMIF('Trade Log'!$A$2:$A$44,B55,'Trade Log'!$F$2:$F$44)</f>
        <v/>
      </c>
      <c r="D55" s="29">
        <f>IF(C55&gt;=0,C55,0)</f>
        <v/>
      </c>
      <c r="E55" s="29">
        <f>IF(C55&lt;0,C55,0)</f>
        <v/>
      </c>
    </row>
    <row r="56">
      <c r="B56" s="16" t="inlineStr">
        <is>
          <t>GRASIM</t>
        </is>
      </c>
      <c r="C56" s="29">
        <f>SUMIF('Trade Log'!$A$2:$A$44,B56,'Trade Log'!$F$2:$F$44)</f>
        <v/>
      </c>
      <c r="D56" s="29">
        <f>IF(C56&gt;=0,C56,0)</f>
        <v/>
      </c>
      <c r="E56" s="29">
        <f>IF(C56&lt;0,C56,0)</f>
        <v/>
      </c>
    </row>
    <row r="57">
      <c r="B57" s="16" t="inlineStr">
        <is>
          <t>TITAN</t>
        </is>
      </c>
      <c r="C57" s="29">
        <f>SUMIF('Trade Log'!$A$2:$A$44,B57,'Trade Log'!$F$2:$F$44)</f>
        <v/>
      </c>
      <c r="D57" s="29">
        <f>IF(C57&gt;=0,C57,0)</f>
        <v/>
      </c>
      <c r="E57" s="29">
        <f>IF(C57&lt;0,C57,0)</f>
        <v/>
      </c>
    </row>
    <row r="58">
      <c r="B58" s="16" t="inlineStr">
        <is>
          <t>M&amp;M</t>
        </is>
      </c>
      <c r="C58" s="29">
        <f>SUMIF('Trade Log'!$A$2:$A$44,B58,'Trade Log'!$F$2:$F$44)</f>
        <v/>
      </c>
      <c r="D58" s="29">
        <f>IF(C58&gt;=0,C58,0)</f>
        <v/>
      </c>
      <c r="E58" s="29">
        <f>IF(C58&lt;0,C58,0)</f>
        <v/>
      </c>
    </row>
    <row r="59">
      <c r="B59" s="16" t="inlineStr">
        <is>
          <t>BAJFINANCE</t>
        </is>
      </c>
      <c r="C59" s="29">
        <f>SUMIF('Trade Log'!$A$2:$A$44,B59,'Trade Log'!$F$2:$F$44)</f>
        <v/>
      </c>
      <c r="D59" s="29">
        <f>IF(C59&gt;=0,C59,0)</f>
        <v/>
      </c>
      <c r="E59" s="29">
        <f>IF(C59&lt;0,C59,0)</f>
        <v/>
      </c>
    </row>
    <row r="60">
      <c r="B60" s="16" t="inlineStr">
        <is>
          <t>HINDUNILVR</t>
        </is>
      </c>
      <c r="C60" s="29">
        <f>SUMIF('Trade Log'!$A$2:$A$44,B60,'Trade Log'!$F$2:$F$44)</f>
        <v/>
      </c>
      <c r="D60" s="29">
        <f>IF(C60&gt;=0,C60,0)</f>
        <v/>
      </c>
      <c r="E60" s="29">
        <f>IF(C60&lt;0,C60,0)</f>
        <v/>
      </c>
    </row>
    <row r="61">
      <c r="B61" s="16" t="inlineStr">
        <is>
          <t>APOLLOHOSP</t>
        </is>
      </c>
      <c r="C61" s="29">
        <f>SUMIF('Trade Log'!$A$2:$A$44,B61,'Trade Log'!$F$2:$F$44)</f>
        <v/>
      </c>
      <c r="D61" s="29">
        <f>IF(C61&gt;=0,C61,0)</f>
        <v/>
      </c>
      <c r="E61" s="29">
        <f>IF(C61&lt;0,C61,0)</f>
        <v/>
      </c>
    </row>
    <row r="62">
      <c r="B62" s="16" t="inlineStr">
        <is>
          <t>EICHERMOT</t>
        </is>
      </c>
      <c r="C62" s="29">
        <f>SUMIF('Trade Log'!$A$2:$A$44,B62,'Trade Log'!$F$2:$F$44)</f>
        <v/>
      </c>
      <c r="D62" s="29">
        <f>IF(C62&gt;=0,C62,0)</f>
        <v/>
      </c>
      <c r="E62" s="29">
        <f>IF(C62&lt;0,C62,0)</f>
        <v/>
      </c>
    </row>
    <row r="63">
      <c r="B63" s="16" t="inlineStr">
        <is>
          <t>ETERNAL</t>
        </is>
      </c>
      <c r="C63" s="29">
        <f>SUMIF('Trade Log'!$A$2:$A$44,B63,'Trade Log'!$F$2:$F$44)</f>
        <v/>
      </c>
      <c r="D63" s="29">
        <f>IF(C63&gt;=0,C63,0)</f>
        <v/>
      </c>
      <c r="E63" s="29">
        <f>IF(C63&lt;0,C63,0)</f>
        <v/>
      </c>
    </row>
    <row r="64">
      <c r="B64" s="16" t="inlineStr">
        <is>
          <t>COALINDIA</t>
        </is>
      </c>
      <c r="C64" s="29">
        <f>SUMIF('Trade Log'!$A$2:$A$44,B64,'Trade Log'!$F$2:$F$44)</f>
        <v/>
      </c>
      <c r="D64" s="29">
        <f>IF(C64&gt;=0,C64,0)</f>
        <v/>
      </c>
      <c r="E64" s="29">
        <f>IF(C64&lt;0,C64,0)</f>
        <v/>
      </c>
    </row>
    <row r="65">
      <c r="B65" s="16" t="inlineStr">
        <is>
          <t>LT</t>
        </is>
      </c>
      <c r="C65" s="29">
        <f>SUMIF('Trade Log'!$A$2:$A$44,B65,'Trade Log'!$F$2:$F$44)</f>
        <v/>
      </c>
      <c r="D65" s="29">
        <f>IF(C65&gt;=0,C65,0)</f>
        <v/>
      </c>
      <c r="E65" s="29">
        <f>IF(C65&lt;0,C65,0)</f>
        <v/>
      </c>
    </row>
    <row r="66">
      <c r="B66" s="16" t="inlineStr">
        <is>
          <t>TECHM</t>
        </is>
      </c>
      <c r="C66" s="29">
        <f>SUMIF('Trade Log'!$A$2:$A$44,B66,'Trade Log'!$F$2:$F$44)</f>
        <v/>
      </c>
      <c r="D66" s="29">
        <f>IF(C66&gt;=0,C66,0)</f>
        <v/>
      </c>
      <c r="E66" s="29">
        <f>IF(C66&lt;0,C66,0)</f>
        <v/>
      </c>
    </row>
    <row r="67">
      <c r="B67" s="16" t="inlineStr">
        <is>
          <t>TATASTEEL</t>
        </is>
      </c>
      <c r="C67" s="29">
        <f>SUMIF('Trade Log'!$A$2:$A$44,B67,'Trade Log'!$F$2:$F$44)</f>
        <v/>
      </c>
      <c r="D67" s="29">
        <f>IF(C67&gt;=0,C67,0)</f>
        <v/>
      </c>
      <c r="E67" s="29">
        <f>IF(C67&lt;0,C67,0)</f>
        <v/>
      </c>
    </row>
    <row r="68">
      <c r="B68" s="16" t="inlineStr">
        <is>
          <t>BSE</t>
        </is>
      </c>
      <c r="C68" s="29">
        <f>SUMIF('Trade Log'!$A$2:$A$44,B68,'Trade Log'!$F$2:$F$44)</f>
        <v/>
      </c>
      <c r="D68" s="29">
        <f>IF(C68&gt;=0,C68,0)</f>
        <v/>
      </c>
      <c r="E68" s="29">
        <f>IF(C68&lt;0,C68,0)</f>
        <v/>
      </c>
    </row>
    <row r="69">
      <c r="B69" s="16" t="inlineStr">
        <is>
          <t>ASIANPAINT</t>
        </is>
      </c>
      <c r="C69" s="29">
        <f>SUMIF('Trade Log'!$A$2:$A$44,B69,'Trade Log'!$F$2:$F$44)</f>
        <v/>
      </c>
      <c r="D69" s="29">
        <f>IF(C69&gt;=0,C69,0)</f>
        <v/>
      </c>
      <c r="E69" s="29">
        <f>IF(C69&lt;0,C69,0)</f>
        <v/>
      </c>
    </row>
    <row r="70">
      <c r="B70" s="16" t="inlineStr">
        <is>
          <t>RELIANCE</t>
        </is>
      </c>
      <c r="C70" s="29">
        <f>SUMIF('Trade Log'!$A$2:$A$44,B70,'Trade Log'!$F$2:$F$44)</f>
        <v/>
      </c>
      <c r="D70" s="29">
        <f>IF(C70&gt;=0,C70,0)</f>
        <v/>
      </c>
      <c r="E70" s="29">
        <f>IF(C70&lt;0,C70,0)</f>
        <v/>
      </c>
    </row>
    <row r="71">
      <c r="B71" s="16" t="inlineStr">
        <is>
          <t>INFY</t>
        </is>
      </c>
      <c r="C71" s="29">
        <f>SUMIF('Trade Log'!$A$2:$A$44,B71,'Trade Log'!$F$2:$F$44)</f>
        <v/>
      </c>
      <c r="D71" s="29">
        <f>IF(C71&gt;=0,C71,0)</f>
        <v/>
      </c>
      <c r="E71" s="29">
        <f>IF(C71&lt;0,C71,0)</f>
        <v/>
      </c>
    </row>
    <row r="72">
      <c r="B72" s="16" t="inlineStr">
        <is>
          <t>HCLTECH</t>
        </is>
      </c>
      <c r="C72" s="29">
        <f>SUMIF('Trade Log'!$A$2:$A$44,B72,'Trade Log'!$F$2:$F$44)</f>
        <v/>
      </c>
      <c r="D72" s="29">
        <f>IF(C72&gt;=0,C72,0)</f>
        <v/>
      </c>
      <c r="E72" s="29">
        <f>IF(C72&lt;0,C72,0)</f>
        <v/>
      </c>
    </row>
    <row r="73">
      <c r="B73" s="16" t="inlineStr">
        <is>
          <t>SBILIFE</t>
        </is>
      </c>
      <c r="C73" s="29">
        <f>SUMIF('Trade Log'!$A$2:$A$44,B73,'Trade Log'!$F$2:$F$44)</f>
        <v/>
      </c>
      <c r="D73" s="29">
        <f>IF(C73&gt;=0,C73,0)</f>
        <v/>
      </c>
      <c r="E73" s="29">
        <f>IF(C73&lt;0,C73,0)</f>
        <v/>
      </c>
    </row>
    <row r="74">
      <c r="B74" s="16" t="inlineStr">
        <is>
          <t>POWERGRID</t>
        </is>
      </c>
      <c r="C74" s="29">
        <f>SUMIF('Trade Log'!$A$2:$A$44,B74,'Trade Log'!$F$2:$F$44)</f>
        <v/>
      </c>
      <c r="D74" s="29">
        <f>IF(C74&gt;=0,C74,0)</f>
        <v/>
      </c>
      <c r="E74" s="29">
        <f>IF(C74&lt;0,C74,0)</f>
        <v/>
      </c>
    </row>
    <row r="75">
      <c r="B75" s="16" t="inlineStr">
        <is>
          <t>ONGC</t>
        </is>
      </c>
      <c r="C75" s="29">
        <f>SUMIF('Trade Log'!$A$2:$A$44,B75,'Trade Log'!$F$2:$F$44)</f>
        <v/>
      </c>
      <c r="D75" s="29">
        <f>IF(C75&gt;=0,C75,0)</f>
        <v/>
      </c>
      <c r="E75" s="29">
        <f>IF(C75&lt;0,C75,0)</f>
        <v/>
      </c>
    </row>
    <row r="76">
      <c r="B76" s="16" t="inlineStr">
        <is>
          <t>NTPC</t>
        </is>
      </c>
      <c r="C76" s="29">
        <f>SUMIF('Trade Log'!$A$2:$A$44,B76,'Trade Log'!$F$2:$F$44)</f>
        <v/>
      </c>
      <c r="D76" s="29">
        <f>IF(C76&gt;=0,C76,0)</f>
        <v/>
      </c>
      <c r="E76" s="29">
        <f>IF(C76&lt;0,C76,0)</f>
        <v/>
      </c>
    </row>
    <row r="77">
      <c r="B77" s="16" t="inlineStr">
        <is>
          <t>BHARTIARTL</t>
        </is>
      </c>
      <c r="C77" s="29">
        <f>SUMIF('Trade Log'!$A$2:$A$44,B77,'Trade Log'!$F$2:$F$44)</f>
        <v/>
      </c>
      <c r="D77" s="29">
        <f>IF(C77&gt;=0,C77,0)</f>
        <v/>
      </c>
      <c r="E77" s="29">
        <f>IF(C77&lt;0,C77,0)</f>
        <v/>
      </c>
    </row>
  </sheetData>
  <mergeCells count="9">
    <mergeCell ref="C20:D20"/>
    <mergeCell ref="C12:D12"/>
    <mergeCell ref="C16:D16"/>
    <mergeCell ref="C15:D15"/>
    <mergeCell ref="C19:D19"/>
    <mergeCell ref="C14:D14"/>
    <mergeCell ref="C13:D13"/>
    <mergeCell ref="C18:D18"/>
    <mergeCell ref="C17:D1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A78D6"/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1" customWidth="1" min="4" max="4"/>
    <col width="13" customWidth="1" min="5" max="5"/>
    <col width="18" customWidth="1" min="6" max="6"/>
    <col width="8" customWidth="1" min="7" max="7"/>
    <col width="13" customWidth="1" min="8" max="8"/>
  </cols>
  <sheetData>
    <row r="1" ht="22" customHeight="1">
      <c r="A1" s="15" t="inlineStr">
        <is>
          <t>Ticker</t>
        </is>
      </c>
      <c r="B1" s="15" t="inlineStr">
        <is>
          <t>Entry Date</t>
        </is>
      </c>
      <c r="C1" s="15" t="inlineStr">
        <is>
          <t>Exit Date</t>
        </is>
      </c>
      <c r="D1" s="15" t="inlineStr">
        <is>
          <t>Days Held</t>
        </is>
      </c>
      <c r="E1" s="15" t="inlineStr">
        <is>
          <t>Return (%)</t>
        </is>
      </c>
      <c r="F1" s="15" t="inlineStr">
        <is>
          <t>Profit (INR)</t>
        </is>
      </c>
      <c r="G1" s="15" t="inlineStr">
        <is>
          <t>Win</t>
        </is>
      </c>
      <c r="H1" s="15" t="inlineStr">
        <is>
          <t>Exit Reason</t>
        </is>
      </c>
    </row>
    <row r="2">
      <c r="A2" s="30" t="inlineStr">
        <is>
          <t>JSWSTEEL</t>
        </is>
      </c>
      <c r="B2" s="31" t="n">
        <v>45985</v>
      </c>
      <c r="C2" s="31" t="n">
        <v>45988</v>
      </c>
      <c r="D2" s="19" t="n">
        <v>3</v>
      </c>
      <c r="E2" s="32" t="n">
        <v>4.8</v>
      </c>
      <c r="F2" s="29" t="n">
        <v>474.57</v>
      </c>
      <c r="G2" s="33" t="b">
        <v>1</v>
      </c>
      <c r="H2" s="17" t="inlineStr">
        <is>
          <t>TP</t>
        </is>
      </c>
    </row>
    <row r="3">
      <c r="A3" s="30" t="inlineStr">
        <is>
          <t>GRASIM</t>
        </is>
      </c>
      <c r="B3" s="31" t="n">
        <v>45967</v>
      </c>
      <c r="C3" s="31" t="n">
        <v>46003</v>
      </c>
      <c r="D3" s="19" t="n">
        <v>36</v>
      </c>
      <c r="E3" s="32" t="n">
        <v>4.8</v>
      </c>
      <c r="F3" s="29" t="n">
        <v>387.2</v>
      </c>
      <c r="G3" s="33" t="b">
        <v>1</v>
      </c>
      <c r="H3" s="17" t="inlineStr">
        <is>
          <t>TP</t>
        </is>
      </c>
    </row>
    <row r="4">
      <c r="A4" s="30" t="inlineStr">
        <is>
          <t>BEL</t>
        </is>
      </c>
      <c r="B4" s="31" t="n">
        <v>45999</v>
      </c>
      <c r="C4" s="31" t="n">
        <v>46017</v>
      </c>
      <c r="D4" s="19" t="n">
        <v>18</v>
      </c>
      <c r="E4" s="32" t="n">
        <v>4.8</v>
      </c>
      <c r="F4" s="29" t="n">
        <v>460.61</v>
      </c>
      <c r="G4" s="33" t="b">
        <v>1</v>
      </c>
      <c r="H4" s="17" t="inlineStr">
        <is>
          <t>TP</t>
        </is>
      </c>
    </row>
    <row r="5">
      <c r="A5" s="30" t="inlineStr">
        <is>
          <t>NESTLEIND</t>
        </is>
      </c>
      <c r="B5" s="31" t="n">
        <v>45999</v>
      </c>
      <c r="C5" s="31" t="n">
        <v>46017</v>
      </c>
      <c r="D5" s="19" t="n">
        <v>18</v>
      </c>
      <c r="E5" s="32" t="n">
        <v>4.79</v>
      </c>
      <c r="F5" s="29" t="n">
        <v>461.28</v>
      </c>
      <c r="G5" s="33" t="b">
        <v>1</v>
      </c>
      <c r="H5" s="17" t="inlineStr">
        <is>
          <t>TP</t>
        </is>
      </c>
    </row>
    <row r="6">
      <c r="A6" s="30" t="inlineStr">
        <is>
          <t>TATASTEEL</t>
        </is>
      </c>
      <c r="B6" s="31" t="n">
        <v>45982</v>
      </c>
      <c r="C6" s="31" t="n">
        <v>46021</v>
      </c>
      <c r="D6" s="19" t="n">
        <v>39</v>
      </c>
      <c r="E6" s="32" t="n">
        <v>4.44</v>
      </c>
      <c r="F6" s="29" t="n">
        <v>438.33</v>
      </c>
      <c r="G6" s="33" t="b">
        <v>1</v>
      </c>
      <c r="H6" s="17" t="inlineStr">
        <is>
          <t>RSI</t>
        </is>
      </c>
    </row>
    <row r="7">
      <c r="A7" s="30" t="inlineStr">
        <is>
          <t>APOLLOHOSP</t>
        </is>
      </c>
      <c r="B7" s="31" t="n">
        <v>45974</v>
      </c>
      <c r="C7" s="31" t="n">
        <v>46028</v>
      </c>
      <c r="D7" s="19" t="n">
        <v>54</v>
      </c>
      <c r="E7" s="32" t="n">
        <v>-1.44</v>
      </c>
      <c r="F7" s="29" t="n">
        <v>-107.02</v>
      </c>
      <c r="G7" s="34" t="b">
        <v>0</v>
      </c>
      <c r="H7" s="17" t="inlineStr">
        <is>
          <t>RSI</t>
        </is>
      </c>
    </row>
    <row r="8">
      <c r="A8" s="30" t="inlineStr">
        <is>
          <t>HINDUNILVR</t>
        </is>
      </c>
      <c r="B8" s="31" t="n">
        <v>45965</v>
      </c>
      <c r="C8" s="31" t="n">
        <v>46028</v>
      </c>
      <c r="D8" s="19" t="n">
        <v>63</v>
      </c>
      <c r="E8" s="32" t="n">
        <v>-0.28</v>
      </c>
      <c r="F8" s="29" t="n">
        <v>-26.83</v>
      </c>
      <c r="G8" s="34" t="b">
        <v>0</v>
      </c>
      <c r="H8" s="17" t="inlineStr">
        <is>
          <t>RSI</t>
        </is>
      </c>
    </row>
    <row r="9">
      <c r="A9" s="30" t="inlineStr">
        <is>
          <t>JIOFIN</t>
        </is>
      </c>
      <c r="B9" s="31" t="n">
        <v>46001</v>
      </c>
      <c r="C9" s="31" t="n">
        <v>46029</v>
      </c>
      <c r="D9" s="19" t="n">
        <v>28</v>
      </c>
      <c r="E9" s="32" t="n">
        <v>4.79</v>
      </c>
      <c r="F9" s="29" t="n">
        <v>459.15</v>
      </c>
      <c r="G9" s="33" t="b">
        <v>1</v>
      </c>
      <c r="H9" s="17" t="inlineStr">
        <is>
          <t>TP</t>
        </is>
      </c>
    </row>
    <row r="10">
      <c r="A10" s="30" t="inlineStr">
        <is>
          <t>ETERNAL</t>
        </is>
      </c>
      <c r="B10" s="31" t="n">
        <v>45967</v>
      </c>
      <c r="C10" s="31" t="n">
        <v>46036</v>
      </c>
      <c r="D10" s="19" t="n">
        <v>69</v>
      </c>
      <c r="E10" s="32" t="n">
        <v>-2.29</v>
      </c>
      <c r="F10" s="29" t="n">
        <v>-224.16</v>
      </c>
      <c r="G10" s="34" t="b">
        <v>0</v>
      </c>
      <c r="H10" s="17" t="inlineStr">
        <is>
          <t>RSI</t>
        </is>
      </c>
    </row>
    <row r="11">
      <c r="A11" s="30" t="inlineStr">
        <is>
          <t>ASIANPAINT</t>
        </is>
      </c>
      <c r="B11" s="31" t="n">
        <v>46043</v>
      </c>
      <c r="C11" s="31" t="n">
        <v>46055</v>
      </c>
      <c r="D11" s="19" t="n">
        <v>12</v>
      </c>
      <c r="E11" s="32" t="n">
        <v>-10.19</v>
      </c>
      <c r="F11" s="29" t="n">
        <v>-806.5</v>
      </c>
      <c r="G11" s="34" t="b">
        <v>0</v>
      </c>
      <c r="H11" s="17" t="inlineStr">
        <is>
          <t>SL</t>
        </is>
      </c>
    </row>
    <row r="12">
      <c r="A12" s="30" t="inlineStr">
        <is>
          <t>LT</t>
        </is>
      </c>
      <c r="B12" s="31" t="n">
        <v>46035</v>
      </c>
      <c r="C12" s="31" t="n">
        <v>46056</v>
      </c>
      <c r="D12" s="19" t="n">
        <v>21</v>
      </c>
      <c r="E12" s="32" t="n">
        <v>4.8</v>
      </c>
      <c r="F12" s="29" t="n">
        <v>369.2</v>
      </c>
      <c r="G12" s="33" t="b">
        <v>1</v>
      </c>
      <c r="H12" s="17" t="inlineStr">
        <is>
          <t>TP</t>
        </is>
      </c>
    </row>
    <row r="13">
      <c r="A13" s="30" t="inlineStr">
        <is>
          <t>ADANIPORTS</t>
        </is>
      </c>
      <c r="B13" s="31" t="n">
        <v>46035</v>
      </c>
      <c r="C13" s="31" t="n">
        <v>46056</v>
      </c>
      <c r="D13" s="19" t="n">
        <v>21</v>
      </c>
      <c r="E13" s="32" t="n">
        <v>4.8</v>
      </c>
      <c r="F13" s="29" t="n">
        <v>477.5</v>
      </c>
      <c r="G13" s="33" t="b">
        <v>1</v>
      </c>
      <c r="H13" s="17" t="inlineStr">
        <is>
          <t>TP</t>
        </is>
      </c>
    </row>
    <row r="14">
      <c r="A14" s="30" t="inlineStr">
        <is>
          <t>M&amp;M</t>
        </is>
      </c>
      <c r="B14" s="31" t="n">
        <v>46042</v>
      </c>
      <c r="C14" s="31" t="n">
        <v>46064</v>
      </c>
      <c r="D14" s="19" t="n">
        <v>22</v>
      </c>
      <c r="E14" s="32" t="n">
        <v>4.8</v>
      </c>
      <c r="F14" s="29" t="n">
        <v>337.62</v>
      </c>
      <c r="G14" s="33" t="b">
        <v>1</v>
      </c>
      <c r="H14" s="17" t="inlineStr">
        <is>
          <t>TP</t>
        </is>
      </c>
    </row>
    <row r="15">
      <c r="A15" s="30" t="inlineStr">
        <is>
          <t>EICHERMOT</t>
        </is>
      </c>
      <c r="B15" s="31" t="n">
        <v>46044</v>
      </c>
      <c r="C15" s="31" t="n">
        <v>46064</v>
      </c>
      <c r="D15" s="19" t="n">
        <v>20</v>
      </c>
      <c r="E15" s="32" t="n">
        <v>4.8</v>
      </c>
      <c r="F15" s="29" t="n">
        <v>334.5</v>
      </c>
      <c r="G15" s="33" t="b">
        <v>1</v>
      </c>
      <c r="H15" s="17" t="inlineStr">
        <is>
          <t>TP</t>
        </is>
      </c>
    </row>
    <row r="16">
      <c r="A16" s="30" t="inlineStr">
        <is>
          <t>INFY</t>
        </is>
      </c>
      <c r="B16" s="31" t="n">
        <v>46057</v>
      </c>
      <c r="C16" s="31" t="n">
        <v>46065</v>
      </c>
      <c r="D16" s="19" t="n">
        <v>8</v>
      </c>
      <c r="E16" s="32" t="n">
        <v>-10.19</v>
      </c>
      <c r="F16" s="29" t="n">
        <v>-919.1</v>
      </c>
      <c r="G16" s="34" t="b">
        <v>0</v>
      </c>
      <c r="H16" s="17" t="inlineStr">
        <is>
          <t>SL</t>
        </is>
      </c>
    </row>
    <row r="17">
      <c r="A17" s="30" t="inlineStr">
        <is>
          <t>BAJFINANCE</t>
        </is>
      </c>
      <c r="B17" s="31" t="n">
        <v>46023</v>
      </c>
      <c r="C17" s="31" t="n">
        <v>46065</v>
      </c>
      <c r="D17" s="19" t="n">
        <v>42</v>
      </c>
      <c r="E17" s="32" t="n">
        <v>2.47</v>
      </c>
      <c r="F17" s="29" t="n">
        <v>238.81</v>
      </c>
      <c r="G17" s="33" t="b">
        <v>1</v>
      </c>
      <c r="H17" s="17" t="inlineStr">
        <is>
          <t>RSI</t>
        </is>
      </c>
    </row>
    <row r="18">
      <c r="A18" s="30" t="inlineStr">
        <is>
          <t>HCLTECH</t>
        </is>
      </c>
      <c r="B18" s="31" t="n">
        <v>46063</v>
      </c>
      <c r="C18" s="31" t="n">
        <v>46066</v>
      </c>
      <c r="D18" s="19" t="n">
        <v>3</v>
      </c>
      <c r="E18" s="32" t="n">
        <v>-10.19</v>
      </c>
      <c r="F18" s="29" t="n">
        <v>-934.1900000000001</v>
      </c>
      <c r="G18" s="34" t="b">
        <v>0</v>
      </c>
      <c r="H18" s="17" t="inlineStr">
        <is>
          <t>SL</t>
        </is>
      </c>
    </row>
    <row r="19">
      <c r="A19" s="30" t="inlineStr">
        <is>
          <t>TECHM</t>
        </is>
      </c>
      <c r="B19" s="31" t="n">
        <v>46065</v>
      </c>
      <c r="C19" s="31" t="n">
        <v>46077</v>
      </c>
      <c r="D19" s="19" t="n">
        <v>12</v>
      </c>
      <c r="E19" s="32" t="n">
        <v>-10.19</v>
      </c>
      <c r="F19" s="29" t="n">
        <v>-915.6799999999999</v>
      </c>
      <c r="G19" s="34" t="b">
        <v>0</v>
      </c>
      <c r="H19" s="17" t="inlineStr">
        <is>
          <t>SL</t>
        </is>
      </c>
    </row>
    <row r="20">
      <c r="A20" s="30" t="inlineStr">
        <is>
          <t>BHARTIARTL</t>
        </is>
      </c>
      <c r="B20" s="31" t="n">
        <v>46031</v>
      </c>
      <c r="C20" s="31" t="n">
        <v>46085</v>
      </c>
      <c r="D20" s="19" t="n">
        <v>54</v>
      </c>
      <c r="E20" s="32" t="n">
        <v>-10.19</v>
      </c>
      <c r="F20" s="29" t="n">
        <v>-1019.97</v>
      </c>
      <c r="G20" s="34" t="b">
        <v>0</v>
      </c>
      <c r="H20" s="17" t="inlineStr">
        <is>
          <t>SL</t>
        </is>
      </c>
    </row>
    <row r="21">
      <c r="A21" s="30" t="inlineStr">
        <is>
          <t>RELIANCE</t>
        </is>
      </c>
      <c r="B21" s="31" t="n">
        <v>46030</v>
      </c>
      <c r="C21" s="31" t="n">
        <v>46085</v>
      </c>
      <c r="D21" s="19" t="n">
        <v>55</v>
      </c>
      <c r="E21" s="32" t="n">
        <v>-10.19</v>
      </c>
      <c r="F21" s="29" t="n">
        <v>-894.99</v>
      </c>
      <c r="G21" s="34" t="b">
        <v>0</v>
      </c>
      <c r="H21" s="17" t="inlineStr">
        <is>
          <t>SL</t>
        </is>
      </c>
    </row>
    <row r="22">
      <c r="A22" s="30" t="inlineStr">
        <is>
          <t>LT</t>
        </is>
      </c>
      <c r="B22" s="31" t="n">
        <v>46085</v>
      </c>
      <c r="C22" s="31" t="n">
        <v>46094</v>
      </c>
      <c r="D22" s="19" t="n">
        <v>9</v>
      </c>
      <c r="E22" s="32" t="n">
        <v>-10.19</v>
      </c>
      <c r="F22" s="29" t="n">
        <v>-783.62</v>
      </c>
      <c r="G22" s="34" t="b">
        <v>0</v>
      </c>
      <c r="H22" s="17" t="inlineStr">
        <is>
          <t>SL</t>
        </is>
      </c>
    </row>
    <row r="23">
      <c r="A23" s="30" t="inlineStr">
        <is>
          <t>SHRIRAMFIN</t>
        </is>
      </c>
      <c r="B23" s="31" t="n">
        <v>46104</v>
      </c>
      <c r="C23" s="31" t="n">
        <v>46105</v>
      </c>
      <c r="D23" s="19" t="n">
        <v>1</v>
      </c>
      <c r="E23" s="32" t="n">
        <v>4.8</v>
      </c>
      <c r="F23" s="29" t="n">
        <v>418.49</v>
      </c>
      <c r="G23" s="33" t="b">
        <v>1</v>
      </c>
      <c r="H23" s="17" t="inlineStr">
        <is>
          <t>TP</t>
        </is>
      </c>
    </row>
    <row r="24">
      <c r="A24" s="30" t="inlineStr">
        <is>
          <t>TITAN</t>
        </is>
      </c>
      <c r="B24" s="31" t="n">
        <v>46104</v>
      </c>
      <c r="C24" s="31" t="n">
        <v>46106</v>
      </c>
      <c r="D24" s="19" t="n">
        <v>2</v>
      </c>
      <c r="E24" s="32" t="n">
        <v>4.8</v>
      </c>
      <c r="F24" s="29" t="n">
        <v>368.3</v>
      </c>
      <c r="G24" s="33" t="b">
        <v>1</v>
      </c>
      <c r="H24" s="17" t="inlineStr">
        <is>
          <t>TP</t>
        </is>
      </c>
    </row>
    <row r="25">
      <c r="A25" s="30" t="inlineStr">
        <is>
          <t>HINDALCO</t>
        </is>
      </c>
      <c r="B25" s="31" t="n">
        <v>46104</v>
      </c>
      <c r="C25" s="31" t="n">
        <v>46111</v>
      </c>
      <c r="D25" s="19" t="n">
        <v>7</v>
      </c>
      <c r="E25" s="32" t="n">
        <v>4.8</v>
      </c>
      <c r="F25" s="29" t="n">
        <v>440.89</v>
      </c>
      <c r="G25" s="33" t="b">
        <v>1</v>
      </c>
      <c r="H25" s="17" t="inlineStr">
        <is>
          <t>TP</t>
        </is>
      </c>
    </row>
    <row r="26">
      <c r="A26" s="30" t="inlineStr">
        <is>
          <t>SBILIFE</t>
        </is>
      </c>
      <c r="B26" s="31" t="n">
        <v>46085</v>
      </c>
      <c r="C26" s="31" t="n">
        <v>46114</v>
      </c>
      <c r="D26" s="19" t="n">
        <v>29</v>
      </c>
      <c r="E26" s="32" t="n">
        <v>-10.19</v>
      </c>
      <c r="F26" s="29" t="n">
        <v>-982.28</v>
      </c>
      <c r="G26" s="34" t="b">
        <v>0</v>
      </c>
      <c r="H26" s="17" t="inlineStr">
        <is>
          <t>SL</t>
        </is>
      </c>
    </row>
    <row r="27">
      <c r="A27" s="30" t="inlineStr">
        <is>
          <t>AXISBANK</t>
        </is>
      </c>
      <c r="B27" s="31" t="n">
        <v>46092</v>
      </c>
      <c r="C27" s="31" t="n">
        <v>46120</v>
      </c>
      <c r="D27" s="19" t="n">
        <v>28</v>
      </c>
      <c r="E27" s="32" t="n">
        <v>4.8</v>
      </c>
      <c r="F27" s="29" t="n">
        <v>421.18</v>
      </c>
      <c r="G27" s="33" t="b">
        <v>1</v>
      </c>
      <c r="H27" s="17" t="inlineStr">
        <is>
          <t>TP</t>
        </is>
      </c>
    </row>
    <row r="28">
      <c r="A28" s="30" t="inlineStr">
        <is>
          <t>EICHERMOT</t>
        </is>
      </c>
      <c r="B28" s="31" t="n">
        <v>46094</v>
      </c>
      <c r="C28" s="31" t="n">
        <v>46120</v>
      </c>
      <c r="D28" s="19" t="n">
        <v>26</v>
      </c>
      <c r="E28" s="32" t="n">
        <v>4.8</v>
      </c>
      <c r="F28" s="29" t="n">
        <v>319.88</v>
      </c>
      <c r="G28" s="33" t="b">
        <v>1</v>
      </c>
      <c r="H28" s="17" t="inlineStr">
        <is>
          <t>TP</t>
        </is>
      </c>
    </row>
    <row r="29">
      <c r="A29" s="30" t="inlineStr">
        <is>
          <t>NESTLEIND</t>
        </is>
      </c>
      <c r="B29" s="31" t="n">
        <v>46090</v>
      </c>
      <c r="C29" s="31" t="n">
        <v>46129</v>
      </c>
      <c r="D29" s="19" t="n">
        <v>39</v>
      </c>
      <c r="E29" s="32" t="n">
        <v>3.83</v>
      </c>
      <c r="F29" s="29" t="n">
        <v>376.42</v>
      </c>
      <c r="G29" s="33" t="b">
        <v>1</v>
      </c>
      <c r="H29" s="17" t="inlineStr">
        <is>
          <t>RSI</t>
        </is>
      </c>
    </row>
    <row r="30">
      <c r="A30" s="30" t="inlineStr">
        <is>
          <t>SBIN</t>
        </is>
      </c>
      <c r="B30" s="31" t="n">
        <v>46094</v>
      </c>
      <c r="C30" s="31" t="n">
        <v>46132</v>
      </c>
      <c r="D30" s="19" t="n">
        <v>38</v>
      </c>
      <c r="E30" s="32" t="n">
        <v>4.79</v>
      </c>
      <c r="F30" s="29" t="n">
        <v>443.83</v>
      </c>
      <c r="G30" s="33" t="b">
        <v>1</v>
      </c>
      <c r="H30" s="17" t="inlineStr">
        <is>
          <t>TP</t>
        </is>
      </c>
    </row>
    <row r="31">
      <c r="A31" s="30" t="inlineStr">
        <is>
          <t>SBIN</t>
        </is>
      </c>
      <c r="B31" s="31" t="n">
        <v>46153</v>
      </c>
      <c r="C31" s="31" t="n">
        <v>46182</v>
      </c>
      <c r="D31" s="19" t="n">
        <v>29</v>
      </c>
      <c r="E31" s="32" t="n">
        <v>4.8</v>
      </c>
      <c r="F31" s="29" t="n">
        <v>458.58</v>
      </c>
      <c r="G31" s="33" t="b">
        <v>1</v>
      </c>
      <c r="H31" s="17" t="inlineStr">
        <is>
          <t>TP</t>
        </is>
      </c>
    </row>
    <row r="32">
      <c r="A32" s="30" t="inlineStr">
        <is>
          <t>ONGC</t>
        </is>
      </c>
      <c r="B32" s="31" t="n">
        <v>46171</v>
      </c>
      <c r="C32" s="31" t="n">
        <v>46198</v>
      </c>
      <c r="D32" s="19" t="n">
        <v>27</v>
      </c>
      <c r="E32" s="32" t="n">
        <v>-10.19</v>
      </c>
      <c r="F32" s="29" t="n">
        <v>-996.4</v>
      </c>
      <c r="G32" s="34" t="b">
        <v>0</v>
      </c>
      <c r="H32" s="17" t="inlineStr">
        <is>
          <t>SL</t>
        </is>
      </c>
    </row>
    <row r="33">
      <c r="A33" s="30" t="inlineStr">
        <is>
          <t>JSWSTEEL</t>
        </is>
      </c>
      <c r="B33" s="31" t="n">
        <v>46204</v>
      </c>
      <c r="C33" s="31" t="n">
        <v>46224</v>
      </c>
      <c r="D33" s="19" t="n">
        <v>20</v>
      </c>
      <c r="E33" s="32" t="n">
        <v>4.79</v>
      </c>
      <c r="F33" s="29" t="n">
        <v>463.87</v>
      </c>
      <c r="G33" s="33" t="b">
        <v>1</v>
      </c>
      <c r="H33" s="17" t="inlineStr">
        <is>
          <t>TP</t>
        </is>
      </c>
    </row>
    <row r="34">
      <c r="A34" s="30" t="inlineStr">
        <is>
          <t>HINDALCO</t>
        </is>
      </c>
      <c r="B34" s="31" t="n">
        <v>46189</v>
      </c>
      <c r="C34" s="31" t="n">
        <v>46238</v>
      </c>
      <c r="D34" s="19" t="n">
        <v>49</v>
      </c>
      <c r="E34" s="32" t="n">
        <v>4.16</v>
      </c>
      <c r="F34" s="29" t="n">
        <v>407.01</v>
      </c>
      <c r="G34" s="33" t="b">
        <v>1</v>
      </c>
      <c r="H34" s="17" t="inlineStr">
        <is>
          <t>RSI</t>
        </is>
      </c>
    </row>
    <row r="35">
      <c r="A35" s="30" t="inlineStr">
        <is>
          <t>POWERGRID</t>
        </is>
      </c>
      <c r="B35" s="31" t="n">
        <v>46160</v>
      </c>
      <c r="C35" s="31" t="n">
        <v>46245</v>
      </c>
      <c r="D35" s="19" t="n">
        <v>85</v>
      </c>
      <c r="E35" s="32" t="n">
        <v>-10.19</v>
      </c>
      <c r="F35" s="29" t="n">
        <v>-992.58</v>
      </c>
      <c r="G35" s="34" t="b">
        <v>0</v>
      </c>
      <c r="H35" s="17" t="inlineStr">
        <is>
          <t>SL</t>
        </is>
      </c>
    </row>
    <row r="36">
      <c r="A36" s="30" t="inlineStr">
        <is>
          <t>BSE</t>
        </is>
      </c>
      <c r="B36" s="31" t="n">
        <v>46220</v>
      </c>
      <c r="C36" s="31" t="n">
        <v>46255</v>
      </c>
      <c r="D36" s="19" t="n">
        <v>35</v>
      </c>
      <c r="E36" s="32" t="n">
        <v>-10.19</v>
      </c>
      <c r="F36" s="29" t="n">
        <v>-729.97</v>
      </c>
      <c r="G36" s="34" t="b">
        <v>0</v>
      </c>
      <c r="H36" s="17" t="inlineStr">
        <is>
          <t>SL</t>
        </is>
      </c>
    </row>
    <row r="37">
      <c r="A37" s="30" t="inlineStr">
        <is>
          <t>NTPC</t>
        </is>
      </c>
      <c r="B37" s="31" t="n">
        <v>46175</v>
      </c>
      <c r="C37" s="31" t="n">
        <v>46261</v>
      </c>
      <c r="D37" s="19" t="n">
        <v>86</v>
      </c>
      <c r="E37" s="32" t="n">
        <v>-10.19</v>
      </c>
      <c r="F37" s="29" t="n">
        <v>-1000.02</v>
      </c>
      <c r="G37" s="34" t="b">
        <v>0</v>
      </c>
      <c r="H37" s="17" t="inlineStr">
        <is>
          <t>SL</t>
        </is>
      </c>
    </row>
    <row r="38">
      <c r="A38" s="30" t="inlineStr">
        <is>
          <t>SUNPHARMA</t>
        </is>
      </c>
      <c r="B38" s="31" t="n">
        <v>46252</v>
      </c>
      <c r="C38" s="31" t="n">
        <v>46265</v>
      </c>
      <c r="D38" s="19" t="n">
        <v>13</v>
      </c>
      <c r="E38" s="32" t="n">
        <v>4.8</v>
      </c>
      <c r="F38" s="29" t="n">
        <v>449.56</v>
      </c>
      <c r="G38" s="33" t="b">
        <v>1</v>
      </c>
      <c r="H38" s="17" t="inlineStr">
        <is>
          <t>TP</t>
        </is>
      </c>
    </row>
    <row r="39">
      <c r="A39" s="30" t="inlineStr">
        <is>
          <t>COALINDIA</t>
        </is>
      </c>
      <c r="B39" s="31" t="n">
        <v>46198</v>
      </c>
      <c r="C39" s="31" t="n">
        <v>46268</v>
      </c>
      <c r="D39" s="19" t="n">
        <v>70</v>
      </c>
      <c r="E39" s="32" t="n">
        <v>-2.43</v>
      </c>
      <c r="F39" s="29" t="n">
        <v>-227.24</v>
      </c>
      <c r="G39" s="34" t="b">
        <v>0</v>
      </c>
      <c r="H39" s="17" t="inlineStr">
        <is>
          <t>RSI</t>
        </is>
      </c>
    </row>
    <row r="40">
      <c r="A40" s="30" t="inlineStr">
        <is>
          <t>ADANIPORTS</t>
        </is>
      </c>
      <c r="B40" s="31" t="n">
        <v>46232</v>
      </c>
      <c r="C40" s="31" t="n">
        <v>46274</v>
      </c>
      <c r="D40" s="19" t="n">
        <v>42</v>
      </c>
      <c r="E40" s="32" t="n">
        <v>3.01</v>
      </c>
      <c r="F40" s="29" t="n">
        <v>259.03</v>
      </c>
      <c r="G40" s="33" t="b">
        <v>1</v>
      </c>
      <c r="H40" s="17" t="inlineStr">
        <is>
          <t>RSI</t>
        </is>
      </c>
    </row>
    <row r="41">
      <c r="A41" s="30" t="inlineStr">
        <is>
          <t>TECHM</t>
        </is>
      </c>
      <c r="B41" s="31" t="n">
        <v>46274</v>
      </c>
      <c r="C41" s="31" t="n">
        <v>46280</v>
      </c>
      <c r="D41" s="19" t="n">
        <v>6</v>
      </c>
      <c r="E41" s="32" t="n">
        <v>4.8</v>
      </c>
      <c r="F41" s="29" t="n">
        <v>433.85</v>
      </c>
      <c r="G41" s="33" t="b">
        <v>1</v>
      </c>
      <c r="H41" s="17" t="inlineStr">
        <is>
          <t>TP</t>
        </is>
      </c>
    </row>
    <row r="42">
      <c r="A42" s="30" t="inlineStr">
        <is>
          <t>JSWSTEEL</t>
        </is>
      </c>
      <c r="B42" s="31" t="n">
        <v>46280</v>
      </c>
      <c r="C42" s="31" t="n">
        <v>46288</v>
      </c>
      <c r="D42" s="19" t="n">
        <v>8</v>
      </c>
      <c r="E42" s="32" t="n">
        <v>4.8</v>
      </c>
      <c r="F42" s="29" t="n">
        <v>412.58</v>
      </c>
      <c r="G42" s="33" t="b">
        <v>1</v>
      </c>
      <c r="H42" s="17" t="inlineStr">
        <is>
          <t>TP</t>
        </is>
      </c>
    </row>
    <row r="43">
      <c r="A43" s="30" t="inlineStr">
        <is>
          <t>TATASTEEL</t>
        </is>
      </c>
      <c r="B43" s="31" t="n">
        <v>46184</v>
      </c>
      <c r="C43" s="31" t="n">
        <v>46303</v>
      </c>
      <c r="D43" s="19" t="n">
        <v>119</v>
      </c>
      <c r="E43" s="32" t="n">
        <v>-10.19</v>
      </c>
      <c r="F43" s="29" t="n">
        <v>-988.23</v>
      </c>
      <c r="G43" s="34" t="b">
        <v>0</v>
      </c>
      <c r="H43" s="17" t="inlineStr">
        <is>
          <t>SL</t>
        </is>
      </c>
    </row>
    <row r="44">
      <c r="A44" s="30" t="inlineStr">
        <is>
          <t>EICHERMOT</t>
        </is>
      </c>
      <c r="B44" s="31" t="n">
        <v>46276</v>
      </c>
      <c r="C44" s="31" t="n">
        <v>46303</v>
      </c>
      <c r="D44" s="19" t="n">
        <v>27</v>
      </c>
      <c r="E44" s="32" t="n">
        <v>-10.19</v>
      </c>
      <c r="F44" s="29" t="n">
        <v>-767.3099999999999</v>
      </c>
      <c r="G44" s="34" t="b">
        <v>0</v>
      </c>
      <c r="H44" s="17" t="inlineStr">
        <is>
          <t>SL</t>
        </is>
      </c>
    </row>
    <row r="45">
      <c r="A45" s="26" t="inlineStr">
        <is>
          <t>TOTAL / AVG:</t>
        </is>
      </c>
      <c r="E45" s="35">
        <f>AVERAGE(E2:E44)</f>
        <v/>
      </c>
      <c r="F45" s="36">
        <f>SUM(F2:F44)</f>
        <v/>
      </c>
    </row>
  </sheetData>
  <autoFilter ref="A1:H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A78D6"/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70" customWidth="1" min="3" max="3"/>
  </cols>
  <sheetData>
    <row r="1" ht="22" customHeight="1">
      <c r="A1" s="15" t="inlineStr">
        <is>
          <t>Metric</t>
        </is>
      </c>
      <c r="B1" s="15" t="inlineStr">
        <is>
          <t>Value</t>
        </is>
      </c>
      <c r="C1" s="15" t="inlineStr">
        <is>
          <t>What it means</t>
        </is>
      </c>
    </row>
    <row r="2">
      <c r="A2" s="16" t="inlineStr">
        <is>
          <t>Initial Capital</t>
        </is>
      </c>
      <c r="B2" s="17" t="inlineStr">
        <is>
          <t>₹100,000.00</t>
        </is>
      </c>
      <c r="C2" s="37" t="inlineStr">
        <is>
          <t>Starting cash for the simulation.</t>
        </is>
      </c>
    </row>
    <row r="3">
      <c r="A3" s="21" t="inlineStr">
        <is>
          <t>Final Portfolio Value</t>
        </is>
      </c>
      <c r="B3" s="38" t="inlineStr">
        <is>
          <t>₹93,631.90</t>
        </is>
      </c>
      <c r="C3" s="39" t="inlineStr">
        <is>
          <t>Cash plus open positions at the end of the test window.</t>
        </is>
      </c>
    </row>
    <row r="4">
      <c r="A4" s="16" t="inlineStr">
        <is>
          <t>CAGR (%)</t>
        </is>
      </c>
      <c r="B4" s="17" t="inlineStr">
        <is>
          <t>-3.65%</t>
        </is>
      </c>
      <c r="C4" s="37" t="inlineStr">
        <is>
          <t>Compound annual growth rate of the portfolio.</t>
        </is>
      </c>
    </row>
    <row r="5">
      <c r="A5" s="21" t="inlineStr">
        <is>
          <t>Annualized Volatility (%)</t>
        </is>
      </c>
      <c r="B5" s="38" t="inlineStr">
        <is>
          <t>5.62%</t>
        </is>
      </c>
      <c r="C5" s="39" t="inlineStr">
        <is>
          <t>Standard deviation of daily returns, scaled to a year.</t>
        </is>
      </c>
    </row>
    <row r="6">
      <c r="A6" s="16" t="inlineStr">
        <is>
          <t>Sharpe Ratio (Rf=5%)</t>
        </is>
      </c>
      <c r="B6" s="17" t="inlineStr">
        <is>
          <t>-1.53</t>
        </is>
      </c>
      <c r="C6" s="37" t="inlineStr">
        <is>
          <t>Excess return over the 5% risk-free rate, per unit of volatility.</t>
        </is>
      </c>
    </row>
    <row r="7">
      <c r="A7" s="21" t="inlineStr">
        <is>
          <t>Sortino Ratio</t>
        </is>
      </c>
      <c r="B7" s="38" t="inlineStr">
        <is>
          <t>-1.45</t>
        </is>
      </c>
      <c r="C7" s="39" t="inlineStr">
        <is>
          <t>Like Sharpe, but only penalises downside volatility.</t>
        </is>
      </c>
    </row>
    <row r="8">
      <c r="A8" s="16" t="inlineStr">
        <is>
          <t>Max Drawdown (%)</t>
        </is>
      </c>
      <c r="B8" s="17" t="inlineStr">
        <is>
          <t>-9.51%</t>
        </is>
      </c>
      <c r="C8" s="37" t="inlineStr">
        <is>
          <t>Largest peak-to-trough fall in portfolio value.</t>
        </is>
      </c>
    </row>
    <row r="9">
      <c r="A9" s="21" t="inlineStr">
        <is>
          <t>Profit Factor</t>
        </is>
      </c>
      <c r="B9" s="38" t="inlineStr">
        <is>
          <t>0.76</t>
        </is>
      </c>
      <c r="C9" s="39" t="inlineStr">
        <is>
          <t>Gross profit divided by gross loss across all trades.</t>
        </is>
      </c>
    </row>
    <row r="10">
      <c r="A10" s="16" t="inlineStr">
        <is>
          <t>Strategy Beta</t>
        </is>
      </c>
      <c r="B10" s="17" t="inlineStr">
        <is>
          <t>0.23</t>
        </is>
      </c>
      <c r="C10" s="37" t="inlineStr">
        <is>
          <t>Sensitivity to NIFTYBEES daily moves (1.0 = moves with the market).</t>
        </is>
      </c>
    </row>
    <row r="11">
      <c r="A11" s="21" t="inlineStr">
        <is>
          <t>Strategy Alpha (Annualized)</t>
        </is>
      </c>
      <c r="B11" s="38" t="inlineStr">
        <is>
          <t>-7.26%</t>
        </is>
      </c>
      <c r="C11" s="39" t="inlineStr">
        <is>
          <t>CAPM alpha: return not explained by market exposure.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A78D6"/>
    <outlinePr summaryBelow="1" summaryRight="1"/>
    <pageSetUpPr/>
  </sheetPr>
  <dimension ref="A1:C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 ht="22" customHeight="1">
      <c r="A1" s="15" t="inlineStr">
        <is>
          <t>Date</t>
        </is>
      </c>
      <c r="B1" s="15" t="inlineStr">
        <is>
          <t>Portfolio Equity</t>
        </is>
      </c>
      <c r="C1" s="15" t="inlineStr">
        <is>
          <t>Drawdown</t>
        </is>
      </c>
    </row>
    <row r="2">
      <c r="A2" s="40" t="n">
        <v>45658</v>
      </c>
      <c r="B2" s="41" t="n">
        <v>100000</v>
      </c>
      <c r="C2" s="42">
        <f>B2/MAX(B$2:B2)-1</f>
        <v/>
      </c>
    </row>
    <row r="3">
      <c r="A3" s="40" t="n">
        <v>45659</v>
      </c>
      <c r="B3" s="41" t="n">
        <v>100000</v>
      </c>
      <c r="C3" s="42">
        <f>B3/MAX(B$2:B3)-1</f>
        <v/>
      </c>
    </row>
    <row r="4">
      <c r="A4" s="40" t="n">
        <v>45660</v>
      </c>
      <c r="B4" s="41" t="n">
        <v>100000</v>
      </c>
      <c r="C4" s="42">
        <f>B4/MAX(B$2:B4)-1</f>
        <v/>
      </c>
    </row>
    <row r="5">
      <c r="A5" s="40" t="n">
        <v>45663</v>
      </c>
      <c r="B5" s="41" t="n">
        <v>100000</v>
      </c>
      <c r="C5" s="42">
        <f>B5/MAX(B$2:B5)-1</f>
        <v/>
      </c>
    </row>
    <row r="6">
      <c r="A6" s="40" t="n">
        <v>45664</v>
      </c>
      <c r="B6" s="41" t="n">
        <v>100000</v>
      </c>
      <c r="C6" s="42">
        <f>B6/MAX(B$2:B6)-1</f>
        <v/>
      </c>
    </row>
    <row r="7">
      <c r="A7" s="40" t="n">
        <v>45665</v>
      </c>
      <c r="B7" s="41" t="n">
        <v>100000</v>
      </c>
      <c r="C7" s="42">
        <f>B7/MAX(B$2:B7)-1</f>
        <v/>
      </c>
    </row>
    <row r="8">
      <c r="A8" s="40" t="n">
        <v>45666</v>
      </c>
      <c r="B8" s="41" t="n">
        <v>100000</v>
      </c>
      <c r="C8" s="42">
        <f>B8/MAX(B$2:B8)-1</f>
        <v/>
      </c>
    </row>
    <row r="9">
      <c r="A9" s="40" t="n">
        <v>45667</v>
      </c>
      <c r="B9" s="41" t="n">
        <v>100000</v>
      </c>
      <c r="C9" s="42">
        <f>B9/MAX(B$2:B9)-1</f>
        <v/>
      </c>
    </row>
    <row r="10">
      <c r="A10" s="40" t="n">
        <v>45670</v>
      </c>
      <c r="B10" s="41" t="n">
        <v>100000</v>
      </c>
      <c r="C10" s="42">
        <f>B10/MAX(B$2:B10)-1</f>
        <v/>
      </c>
    </row>
    <row r="11">
      <c r="A11" s="40" t="n">
        <v>45671</v>
      </c>
      <c r="B11" s="41" t="n">
        <v>100000</v>
      </c>
      <c r="C11" s="42">
        <f>B11/MAX(B$2:B11)-1</f>
        <v/>
      </c>
    </row>
    <row r="12">
      <c r="A12" s="40" t="n">
        <v>45672</v>
      </c>
      <c r="B12" s="41" t="n">
        <v>100000</v>
      </c>
      <c r="C12" s="42">
        <f>B12/MAX(B$2:B12)-1</f>
        <v/>
      </c>
    </row>
    <row r="13">
      <c r="A13" s="40" t="n">
        <v>45673</v>
      </c>
      <c r="B13" s="41" t="n">
        <v>100000</v>
      </c>
      <c r="C13" s="42">
        <f>B13/MAX(B$2:B13)-1</f>
        <v/>
      </c>
    </row>
    <row r="14">
      <c r="A14" s="40" t="n">
        <v>45674</v>
      </c>
      <c r="B14" s="41" t="n">
        <v>100000</v>
      </c>
      <c r="C14" s="42">
        <f>B14/MAX(B$2:B14)-1</f>
        <v/>
      </c>
    </row>
    <row r="15">
      <c r="A15" s="40" t="n">
        <v>45677</v>
      </c>
      <c r="B15" s="41" t="n">
        <v>100000</v>
      </c>
      <c r="C15" s="42">
        <f>B15/MAX(B$2:B15)-1</f>
        <v/>
      </c>
    </row>
    <row r="16">
      <c r="A16" s="40" t="n">
        <v>45678</v>
      </c>
      <c r="B16" s="41" t="n">
        <v>100000</v>
      </c>
      <c r="C16" s="42">
        <f>B16/MAX(B$2:B16)-1</f>
        <v/>
      </c>
    </row>
    <row r="17">
      <c r="A17" s="40" t="n">
        <v>45679</v>
      </c>
      <c r="B17" s="41" t="n">
        <v>100000</v>
      </c>
      <c r="C17" s="42">
        <f>B17/MAX(B$2:B17)-1</f>
        <v/>
      </c>
    </row>
    <row r="18">
      <c r="A18" s="40" t="n">
        <v>45680</v>
      </c>
      <c r="B18" s="41" t="n">
        <v>100000</v>
      </c>
      <c r="C18" s="42">
        <f>B18/MAX(B$2:B18)-1</f>
        <v/>
      </c>
    </row>
    <row r="19">
      <c r="A19" s="40" t="n">
        <v>45681</v>
      </c>
      <c r="B19" s="41" t="n">
        <v>100000</v>
      </c>
      <c r="C19" s="42">
        <f>B19/MAX(B$2:B19)-1</f>
        <v/>
      </c>
    </row>
    <row r="20">
      <c r="A20" s="40" t="n">
        <v>45684</v>
      </c>
      <c r="B20" s="41" t="n">
        <v>100000</v>
      </c>
      <c r="C20" s="42">
        <f>B20/MAX(B$2:B20)-1</f>
        <v/>
      </c>
    </row>
    <row r="21">
      <c r="A21" s="40" t="n">
        <v>45685</v>
      </c>
      <c r="B21" s="41" t="n">
        <v>100000</v>
      </c>
      <c r="C21" s="42">
        <f>B21/MAX(B$2:B21)-1</f>
        <v/>
      </c>
    </row>
    <row r="22">
      <c r="A22" s="40" t="n">
        <v>45686</v>
      </c>
      <c r="B22" s="41" t="n">
        <v>100000</v>
      </c>
      <c r="C22" s="42">
        <f>B22/MAX(B$2:B22)-1</f>
        <v/>
      </c>
    </row>
    <row r="23">
      <c r="A23" s="40" t="n">
        <v>45687</v>
      </c>
      <c r="B23" s="41" t="n">
        <v>100000</v>
      </c>
      <c r="C23" s="42">
        <f>B23/MAX(B$2:B23)-1</f>
        <v/>
      </c>
    </row>
    <row r="24">
      <c r="A24" s="40" t="n">
        <v>45688</v>
      </c>
      <c r="B24" s="41" t="n">
        <v>100000</v>
      </c>
      <c r="C24" s="42">
        <f>B24/MAX(B$2:B24)-1</f>
        <v/>
      </c>
    </row>
    <row r="25">
      <c r="A25" s="40" t="n">
        <v>45689</v>
      </c>
      <c r="B25" s="41" t="n">
        <v>100000</v>
      </c>
      <c r="C25" s="42">
        <f>B25/MAX(B$2:B25)-1</f>
        <v/>
      </c>
    </row>
    <row r="26">
      <c r="A26" s="40" t="n">
        <v>45691</v>
      </c>
      <c r="B26" s="41" t="n">
        <v>100000</v>
      </c>
      <c r="C26" s="42">
        <f>B26/MAX(B$2:B26)-1</f>
        <v/>
      </c>
    </row>
    <row r="27">
      <c r="A27" s="40" t="n">
        <v>45692</v>
      </c>
      <c r="B27" s="41" t="n">
        <v>100000</v>
      </c>
      <c r="C27" s="42">
        <f>B27/MAX(B$2:B27)-1</f>
        <v/>
      </c>
    </row>
    <row r="28">
      <c r="A28" s="40" t="n">
        <v>45693</v>
      </c>
      <c r="B28" s="41" t="n">
        <v>100000</v>
      </c>
      <c r="C28" s="42">
        <f>B28/MAX(B$2:B28)-1</f>
        <v/>
      </c>
    </row>
    <row r="29">
      <c r="A29" s="40" t="n">
        <v>45694</v>
      </c>
      <c r="B29" s="41" t="n">
        <v>100000</v>
      </c>
      <c r="C29" s="42">
        <f>B29/MAX(B$2:B29)-1</f>
        <v/>
      </c>
    </row>
    <row r="30">
      <c r="A30" s="40" t="n">
        <v>45695</v>
      </c>
      <c r="B30" s="41" t="n">
        <v>100000</v>
      </c>
      <c r="C30" s="42">
        <f>B30/MAX(B$2:B30)-1</f>
        <v/>
      </c>
    </row>
    <row r="31">
      <c r="A31" s="40" t="n">
        <v>45698</v>
      </c>
      <c r="B31" s="41" t="n">
        <v>100000</v>
      </c>
      <c r="C31" s="42">
        <f>B31/MAX(B$2:B31)-1</f>
        <v/>
      </c>
    </row>
    <row r="32">
      <c r="A32" s="40" t="n">
        <v>45699</v>
      </c>
      <c r="B32" s="41" t="n">
        <v>100000</v>
      </c>
      <c r="C32" s="42">
        <f>B32/MAX(B$2:B32)-1</f>
        <v/>
      </c>
    </row>
    <row r="33">
      <c r="A33" s="40" t="n">
        <v>45700</v>
      </c>
      <c r="B33" s="41" t="n">
        <v>100000</v>
      </c>
      <c r="C33" s="42">
        <f>B33/MAX(B$2:B33)-1</f>
        <v/>
      </c>
    </row>
    <row r="34">
      <c r="A34" s="40" t="n">
        <v>45701</v>
      </c>
      <c r="B34" s="41" t="n">
        <v>100000</v>
      </c>
      <c r="C34" s="42">
        <f>B34/MAX(B$2:B34)-1</f>
        <v/>
      </c>
    </row>
    <row r="35">
      <c r="A35" s="40" t="n">
        <v>45702</v>
      </c>
      <c r="B35" s="41" t="n">
        <v>100000</v>
      </c>
      <c r="C35" s="42">
        <f>B35/MAX(B$2:B35)-1</f>
        <v/>
      </c>
    </row>
    <row r="36">
      <c r="A36" s="40" t="n">
        <v>45705</v>
      </c>
      <c r="B36" s="41" t="n">
        <v>100000</v>
      </c>
      <c r="C36" s="42">
        <f>B36/MAX(B$2:B36)-1</f>
        <v/>
      </c>
    </row>
    <row r="37">
      <c r="A37" s="40" t="n">
        <v>45706</v>
      </c>
      <c r="B37" s="41" t="n">
        <v>100000</v>
      </c>
      <c r="C37" s="42">
        <f>B37/MAX(B$2:B37)-1</f>
        <v/>
      </c>
    </row>
    <row r="38">
      <c r="A38" s="40" t="n">
        <v>45707</v>
      </c>
      <c r="B38" s="41" t="n">
        <v>100000</v>
      </c>
      <c r="C38" s="42">
        <f>B38/MAX(B$2:B38)-1</f>
        <v/>
      </c>
    </row>
    <row r="39">
      <c r="A39" s="40" t="n">
        <v>45708</v>
      </c>
      <c r="B39" s="41" t="n">
        <v>100000</v>
      </c>
      <c r="C39" s="42">
        <f>B39/MAX(B$2:B39)-1</f>
        <v/>
      </c>
    </row>
    <row r="40">
      <c r="A40" s="40" t="n">
        <v>45709</v>
      </c>
      <c r="B40" s="41" t="n">
        <v>100000</v>
      </c>
      <c r="C40" s="42">
        <f>B40/MAX(B$2:B40)-1</f>
        <v/>
      </c>
    </row>
    <row r="41">
      <c r="A41" s="40" t="n">
        <v>45712</v>
      </c>
      <c r="B41" s="41" t="n">
        <v>100000</v>
      </c>
      <c r="C41" s="42">
        <f>B41/MAX(B$2:B41)-1</f>
        <v/>
      </c>
    </row>
    <row r="42">
      <c r="A42" s="40" t="n">
        <v>45713</v>
      </c>
      <c r="B42" s="41" t="n">
        <v>100000</v>
      </c>
      <c r="C42" s="42">
        <f>B42/MAX(B$2:B42)-1</f>
        <v/>
      </c>
    </row>
    <row r="43">
      <c r="A43" s="40" t="n">
        <v>45715</v>
      </c>
      <c r="B43" s="41" t="n">
        <v>100000</v>
      </c>
      <c r="C43" s="42">
        <f>B43/MAX(B$2:B43)-1</f>
        <v/>
      </c>
    </row>
    <row r="44">
      <c r="A44" s="40" t="n">
        <v>45716</v>
      </c>
      <c r="B44" s="41" t="n">
        <v>100000</v>
      </c>
      <c r="C44" s="42">
        <f>B44/MAX(B$2:B44)-1</f>
        <v/>
      </c>
    </row>
    <row r="45">
      <c r="A45" s="40" t="n">
        <v>45719</v>
      </c>
      <c r="B45" s="41" t="n">
        <v>100000</v>
      </c>
      <c r="C45" s="42">
        <f>B45/MAX(B$2:B45)-1</f>
        <v/>
      </c>
    </row>
    <row r="46">
      <c r="A46" s="40" t="n">
        <v>45720</v>
      </c>
      <c r="B46" s="41" t="n">
        <v>100000</v>
      </c>
      <c r="C46" s="42">
        <f>B46/MAX(B$2:B46)-1</f>
        <v/>
      </c>
    </row>
    <row r="47">
      <c r="A47" s="40" t="n">
        <v>45721</v>
      </c>
      <c r="B47" s="41" t="n">
        <v>100000</v>
      </c>
      <c r="C47" s="42">
        <f>B47/MAX(B$2:B47)-1</f>
        <v/>
      </c>
    </row>
    <row r="48">
      <c r="A48" s="40" t="n">
        <v>45722</v>
      </c>
      <c r="B48" s="41" t="n">
        <v>100000</v>
      </c>
      <c r="C48" s="42">
        <f>B48/MAX(B$2:B48)-1</f>
        <v/>
      </c>
    </row>
    <row r="49">
      <c r="A49" s="40" t="n">
        <v>45723</v>
      </c>
      <c r="B49" s="41" t="n">
        <v>100000</v>
      </c>
      <c r="C49" s="42">
        <f>B49/MAX(B$2:B49)-1</f>
        <v/>
      </c>
    </row>
    <row r="50">
      <c r="A50" s="40" t="n">
        <v>45726</v>
      </c>
      <c r="B50" s="41" t="n">
        <v>100000</v>
      </c>
      <c r="C50" s="42">
        <f>B50/MAX(B$2:B50)-1</f>
        <v/>
      </c>
    </row>
    <row r="51">
      <c r="A51" s="40" t="n">
        <v>45727</v>
      </c>
      <c r="B51" s="41" t="n">
        <v>100000</v>
      </c>
      <c r="C51" s="42">
        <f>B51/MAX(B$2:B51)-1</f>
        <v/>
      </c>
    </row>
    <row r="52">
      <c r="A52" s="40" t="n">
        <v>45728</v>
      </c>
      <c r="B52" s="41" t="n">
        <v>100000</v>
      </c>
      <c r="C52" s="42">
        <f>B52/MAX(B$2:B52)-1</f>
        <v/>
      </c>
    </row>
    <row r="53">
      <c r="A53" s="40" t="n">
        <v>45729</v>
      </c>
      <c r="B53" s="41" t="n">
        <v>100000</v>
      </c>
      <c r="C53" s="42">
        <f>B53/MAX(B$2:B53)-1</f>
        <v/>
      </c>
    </row>
    <row r="54">
      <c r="A54" s="40" t="n">
        <v>45733</v>
      </c>
      <c r="B54" s="41" t="n">
        <v>100000</v>
      </c>
      <c r="C54" s="42">
        <f>B54/MAX(B$2:B54)-1</f>
        <v/>
      </c>
    </row>
    <row r="55">
      <c r="A55" s="40" t="n">
        <v>45734</v>
      </c>
      <c r="B55" s="41" t="n">
        <v>100000</v>
      </c>
      <c r="C55" s="42">
        <f>B55/MAX(B$2:B55)-1</f>
        <v/>
      </c>
    </row>
    <row r="56">
      <c r="A56" s="40" t="n">
        <v>45735</v>
      </c>
      <c r="B56" s="41" t="n">
        <v>100000</v>
      </c>
      <c r="C56" s="42">
        <f>B56/MAX(B$2:B56)-1</f>
        <v/>
      </c>
    </row>
    <row r="57">
      <c r="A57" s="40" t="n">
        <v>45736</v>
      </c>
      <c r="B57" s="41" t="n">
        <v>100000</v>
      </c>
      <c r="C57" s="42">
        <f>B57/MAX(B$2:B57)-1</f>
        <v/>
      </c>
    </row>
    <row r="58">
      <c r="A58" s="40" t="n">
        <v>45737</v>
      </c>
      <c r="B58" s="41" t="n">
        <v>100000</v>
      </c>
      <c r="C58" s="42">
        <f>B58/MAX(B$2:B58)-1</f>
        <v/>
      </c>
    </row>
    <row r="59">
      <c r="A59" s="40" t="n">
        <v>45740</v>
      </c>
      <c r="B59" s="41" t="n">
        <v>100000</v>
      </c>
      <c r="C59" s="42">
        <f>B59/MAX(B$2:B59)-1</f>
        <v/>
      </c>
    </row>
    <row r="60">
      <c r="A60" s="40" t="n">
        <v>45741</v>
      </c>
      <c r="B60" s="41" t="n">
        <v>100000</v>
      </c>
      <c r="C60" s="42">
        <f>B60/MAX(B$2:B60)-1</f>
        <v/>
      </c>
    </row>
    <row r="61">
      <c r="A61" s="40" t="n">
        <v>45742</v>
      </c>
      <c r="B61" s="41" t="n">
        <v>100000</v>
      </c>
      <c r="C61" s="42">
        <f>B61/MAX(B$2:B61)-1</f>
        <v/>
      </c>
    </row>
    <row r="62">
      <c r="A62" s="40" t="n">
        <v>45743</v>
      </c>
      <c r="B62" s="41" t="n">
        <v>100000</v>
      </c>
      <c r="C62" s="42">
        <f>B62/MAX(B$2:B62)-1</f>
        <v/>
      </c>
    </row>
    <row r="63">
      <c r="A63" s="40" t="n">
        <v>45744</v>
      </c>
      <c r="B63" s="41" t="n">
        <v>100000</v>
      </c>
      <c r="C63" s="42">
        <f>B63/MAX(B$2:B63)-1</f>
        <v/>
      </c>
    </row>
    <row r="64">
      <c r="A64" s="40" t="n">
        <v>45748</v>
      </c>
      <c r="B64" s="41" t="n">
        <v>100000</v>
      </c>
      <c r="C64" s="42">
        <f>B64/MAX(B$2:B64)-1</f>
        <v/>
      </c>
    </row>
    <row r="65">
      <c r="A65" s="40" t="n">
        <v>45749</v>
      </c>
      <c r="B65" s="41" t="n">
        <v>100000</v>
      </c>
      <c r="C65" s="42">
        <f>B65/MAX(B$2:B65)-1</f>
        <v/>
      </c>
    </row>
    <row r="66">
      <c r="A66" s="40" t="n">
        <v>45750</v>
      </c>
      <c r="B66" s="41" t="n">
        <v>100000</v>
      </c>
      <c r="C66" s="42">
        <f>B66/MAX(B$2:B66)-1</f>
        <v/>
      </c>
    </row>
    <row r="67">
      <c r="A67" s="40" t="n">
        <v>45751</v>
      </c>
      <c r="B67" s="41" t="n">
        <v>100000</v>
      </c>
      <c r="C67" s="42">
        <f>B67/MAX(B$2:B67)-1</f>
        <v/>
      </c>
    </row>
    <row r="68">
      <c r="A68" s="40" t="n">
        <v>45754</v>
      </c>
      <c r="B68" s="41" t="n">
        <v>100000</v>
      </c>
      <c r="C68" s="42">
        <f>B68/MAX(B$2:B68)-1</f>
        <v/>
      </c>
    </row>
    <row r="69">
      <c r="A69" s="40" t="n">
        <v>45755</v>
      </c>
      <c r="B69" s="41" t="n">
        <v>100000</v>
      </c>
      <c r="C69" s="42">
        <f>B69/MAX(B$2:B69)-1</f>
        <v/>
      </c>
    </row>
    <row r="70">
      <c r="A70" s="40" t="n">
        <v>45756</v>
      </c>
      <c r="B70" s="41" t="n">
        <v>100000</v>
      </c>
      <c r="C70" s="42">
        <f>B70/MAX(B$2:B70)-1</f>
        <v/>
      </c>
    </row>
    <row r="71">
      <c r="A71" s="40" t="n">
        <v>45758</v>
      </c>
      <c r="B71" s="41" t="n">
        <v>100000</v>
      </c>
      <c r="C71" s="42">
        <f>B71/MAX(B$2:B71)-1</f>
        <v/>
      </c>
    </row>
    <row r="72">
      <c r="A72" s="40" t="n">
        <v>45762</v>
      </c>
      <c r="B72" s="41" t="n">
        <v>100000</v>
      </c>
      <c r="C72" s="42">
        <f>B72/MAX(B$2:B72)-1</f>
        <v/>
      </c>
    </row>
    <row r="73">
      <c r="A73" s="40" t="n">
        <v>45763</v>
      </c>
      <c r="B73" s="41" t="n">
        <v>100000</v>
      </c>
      <c r="C73" s="42">
        <f>B73/MAX(B$2:B73)-1</f>
        <v/>
      </c>
    </row>
    <row r="74">
      <c r="A74" s="40" t="n">
        <v>45764</v>
      </c>
      <c r="B74" s="41" t="n">
        <v>100000</v>
      </c>
      <c r="C74" s="42">
        <f>B74/MAX(B$2:B74)-1</f>
        <v/>
      </c>
    </row>
    <row r="75">
      <c r="A75" s="40" t="n">
        <v>45768</v>
      </c>
      <c r="B75" s="41" t="n">
        <v>100000</v>
      </c>
      <c r="C75" s="42">
        <f>B75/MAX(B$2:B75)-1</f>
        <v/>
      </c>
    </row>
    <row r="76">
      <c r="A76" s="40" t="n">
        <v>45769</v>
      </c>
      <c r="B76" s="41" t="n">
        <v>100000</v>
      </c>
      <c r="C76" s="42">
        <f>B76/MAX(B$2:B76)-1</f>
        <v/>
      </c>
    </row>
    <row r="77">
      <c r="A77" s="40" t="n">
        <v>45770</v>
      </c>
      <c r="B77" s="41" t="n">
        <v>100000</v>
      </c>
      <c r="C77" s="42">
        <f>B77/MAX(B$2:B77)-1</f>
        <v/>
      </c>
    </row>
    <row r="78">
      <c r="A78" s="40" t="n">
        <v>45771</v>
      </c>
      <c r="B78" s="41" t="n">
        <v>100000</v>
      </c>
      <c r="C78" s="42">
        <f>B78/MAX(B$2:B78)-1</f>
        <v/>
      </c>
    </row>
    <row r="79">
      <c r="A79" s="40" t="n">
        <v>45772</v>
      </c>
      <c r="B79" s="41" t="n">
        <v>100000</v>
      </c>
      <c r="C79" s="42">
        <f>B79/MAX(B$2:B79)-1</f>
        <v/>
      </c>
    </row>
    <row r="80">
      <c r="A80" s="40" t="n">
        <v>45775</v>
      </c>
      <c r="B80" s="41" t="n">
        <v>100000</v>
      </c>
      <c r="C80" s="42">
        <f>B80/MAX(B$2:B80)-1</f>
        <v/>
      </c>
    </row>
    <row r="81">
      <c r="A81" s="40" t="n">
        <v>45776</v>
      </c>
      <c r="B81" s="41" t="n">
        <v>100000</v>
      </c>
      <c r="C81" s="42">
        <f>B81/MAX(B$2:B81)-1</f>
        <v/>
      </c>
    </row>
    <row r="82">
      <c r="A82" s="40" t="n">
        <v>45777</v>
      </c>
      <c r="B82" s="41" t="n">
        <v>100000</v>
      </c>
      <c r="C82" s="42">
        <f>B82/MAX(B$2:B82)-1</f>
        <v/>
      </c>
    </row>
    <row r="83">
      <c r="A83" s="40" t="n">
        <v>45779</v>
      </c>
      <c r="B83" s="41" t="n">
        <v>100000</v>
      </c>
      <c r="C83" s="42">
        <f>B83/MAX(B$2:B83)-1</f>
        <v/>
      </c>
    </row>
    <row r="84">
      <c r="A84" s="40" t="n">
        <v>45782</v>
      </c>
      <c r="B84" s="41" t="n">
        <v>100000</v>
      </c>
      <c r="C84" s="42">
        <f>B84/MAX(B$2:B84)-1</f>
        <v/>
      </c>
    </row>
    <row r="85">
      <c r="A85" s="40" t="n">
        <v>45783</v>
      </c>
      <c r="B85" s="41" t="n">
        <v>100000</v>
      </c>
      <c r="C85" s="42">
        <f>B85/MAX(B$2:B85)-1</f>
        <v/>
      </c>
    </row>
    <row r="86">
      <c r="A86" s="40" t="n">
        <v>45784</v>
      </c>
      <c r="B86" s="41" t="n">
        <v>100000</v>
      </c>
      <c r="C86" s="42">
        <f>B86/MAX(B$2:B86)-1</f>
        <v/>
      </c>
    </row>
    <row r="87">
      <c r="A87" s="40" t="n">
        <v>45785</v>
      </c>
      <c r="B87" s="41" t="n">
        <v>100000</v>
      </c>
      <c r="C87" s="42">
        <f>B87/MAX(B$2:B87)-1</f>
        <v/>
      </c>
    </row>
    <row r="88">
      <c r="A88" s="40" t="n">
        <v>45786</v>
      </c>
      <c r="B88" s="41" t="n">
        <v>100000</v>
      </c>
      <c r="C88" s="42">
        <f>B88/MAX(B$2:B88)-1</f>
        <v/>
      </c>
    </row>
    <row r="89">
      <c r="A89" s="40" t="n">
        <v>45789</v>
      </c>
      <c r="B89" s="41" t="n">
        <v>100000</v>
      </c>
      <c r="C89" s="42">
        <f>B89/MAX(B$2:B89)-1</f>
        <v/>
      </c>
    </row>
    <row r="90">
      <c r="A90" s="40" t="n">
        <v>45790</v>
      </c>
      <c r="B90" s="41" t="n">
        <v>100000</v>
      </c>
      <c r="C90" s="42">
        <f>B90/MAX(B$2:B90)-1</f>
        <v/>
      </c>
    </row>
    <row r="91">
      <c r="A91" s="40" t="n">
        <v>45791</v>
      </c>
      <c r="B91" s="41" t="n">
        <v>100000</v>
      </c>
      <c r="C91" s="42">
        <f>B91/MAX(B$2:B91)-1</f>
        <v/>
      </c>
    </row>
    <row r="92">
      <c r="A92" s="40" t="n">
        <v>45792</v>
      </c>
      <c r="B92" s="41" t="n">
        <v>100000</v>
      </c>
      <c r="C92" s="42">
        <f>B92/MAX(B$2:B92)-1</f>
        <v/>
      </c>
    </row>
    <row r="93">
      <c r="A93" s="40" t="n">
        <v>45793</v>
      </c>
      <c r="B93" s="41" t="n">
        <v>100000</v>
      </c>
      <c r="C93" s="42">
        <f>B93/MAX(B$2:B93)-1</f>
        <v/>
      </c>
    </row>
    <row r="94">
      <c r="A94" s="40" t="n">
        <v>45796</v>
      </c>
      <c r="B94" s="41" t="n">
        <v>100000</v>
      </c>
      <c r="C94" s="42">
        <f>B94/MAX(B$2:B94)-1</f>
        <v/>
      </c>
    </row>
    <row r="95">
      <c r="A95" s="40" t="n">
        <v>45797</v>
      </c>
      <c r="B95" s="41" t="n">
        <v>100000</v>
      </c>
      <c r="C95" s="42">
        <f>B95/MAX(B$2:B95)-1</f>
        <v/>
      </c>
    </row>
    <row r="96">
      <c r="A96" s="40" t="n">
        <v>45798</v>
      </c>
      <c r="B96" s="41" t="n">
        <v>100000</v>
      </c>
      <c r="C96" s="42">
        <f>B96/MAX(B$2:B96)-1</f>
        <v/>
      </c>
    </row>
    <row r="97">
      <c r="A97" s="40" t="n">
        <v>45799</v>
      </c>
      <c r="B97" s="41" t="n">
        <v>100000</v>
      </c>
      <c r="C97" s="42">
        <f>B97/MAX(B$2:B97)-1</f>
        <v/>
      </c>
    </row>
    <row r="98">
      <c r="A98" s="40" t="n">
        <v>45800</v>
      </c>
      <c r="B98" s="41" t="n">
        <v>100000</v>
      </c>
      <c r="C98" s="42">
        <f>B98/MAX(B$2:B98)-1</f>
        <v/>
      </c>
    </row>
    <row r="99">
      <c r="A99" s="40" t="n">
        <v>45803</v>
      </c>
      <c r="B99" s="41" t="n">
        <v>100000</v>
      </c>
      <c r="C99" s="42">
        <f>B99/MAX(B$2:B99)-1</f>
        <v/>
      </c>
    </row>
    <row r="100">
      <c r="A100" s="40" t="n">
        <v>45804</v>
      </c>
      <c r="B100" s="41" t="n">
        <v>100000</v>
      </c>
      <c r="C100" s="42">
        <f>B100/MAX(B$2:B100)-1</f>
        <v/>
      </c>
    </row>
    <row r="101">
      <c r="A101" s="40" t="n">
        <v>45805</v>
      </c>
      <c r="B101" s="41" t="n">
        <v>100000</v>
      </c>
      <c r="C101" s="42">
        <f>B101/MAX(B$2:B101)-1</f>
        <v/>
      </c>
    </row>
    <row r="102">
      <c r="A102" s="40" t="n">
        <v>45806</v>
      </c>
      <c r="B102" s="41" t="n">
        <v>100000</v>
      </c>
      <c r="C102" s="42">
        <f>B102/MAX(B$2:B102)-1</f>
        <v/>
      </c>
    </row>
    <row r="103">
      <c r="A103" s="40" t="n">
        <v>45807</v>
      </c>
      <c r="B103" s="41" t="n">
        <v>100000</v>
      </c>
      <c r="C103" s="42">
        <f>B103/MAX(B$2:B103)-1</f>
        <v/>
      </c>
    </row>
    <row r="104">
      <c r="A104" s="40" t="n">
        <v>45810</v>
      </c>
      <c r="B104" s="41" t="n">
        <v>100000</v>
      </c>
      <c r="C104" s="42">
        <f>B104/MAX(B$2:B104)-1</f>
        <v/>
      </c>
    </row>
    <row r="105">
      <c r="A105" s="40" t="n">
        <v>45811</v>
      </c>
      <c r="B105" s="41" t="n">
        <v>100000</v>
      </c>
      <c r="C105" s="42">
        <f>B105/MAX(B$2:B105)-1</f>
        <v/>
      </c>
    </row>
    <row r="106">
      <c r="A106" s="40" t="n">
        <v>45812</v>
      </c>
      <c r="B106" s="41" t="n">
        <v>100000</v>
      </c>
      <c r="C106" s="42">
        <f>B106/MAX(B$2:B106)-1</f>
        <v/>
      </c>
    </row>
    <row r="107">
      <c r="A107" s="40" t="n">
        <v>45813</v>
      </c>
      <c r="B107" s="41" t="n">
        <v>100000</v>
      </c>
      <c r="C107" s="42">
        <f>B107/MAX(B$2:B107)-1</f>
        <v/>
      </c>
    </row>
    <row r="108">
      <c r="A108" s="40" t="n">
        <v>45814</v>
      </c>
      <c r="B108" s="41" t="n">
        <v>100000</v>
      </c>
      <c r="C108" s="42">
        <f>B108/MAX(B$2:B108)-1</f>
        <v/>
      </c>
    </row>
    <row r="109">
      <c r="A109" s="40" t="n">
        <v>45817</v>
      </c>
      <c r="B109" s="41" t="n">
        <v>100000</v>
      </c>
      <c r="C109" s="42">
        <f>B109/MAX(B$2:B109)-1</f>
        <v/>
      </c>
    </row>
    <row r="110">
      <c r="A110" s="40" t="n">
        <v>45818</v>
      </c>
      <c r="B110" s="41" t="n">
        <v>100000</v>
      </c>
      <c r="C110" s="42">
        <f>B110/MAX(B$2:B110)-1</f>
        <v/>
      </c>
    </row>
    <row r="111">
      <c r="A111" s="40" t="n">
        <v>45819</v>
      </c>
      <c r="B111" s="41" t="n">
        <v>100000</v>
      </c>
      <c r="C111" s="42">
        <f>B111/MAX(B$2:B111)-1</f>
        <v/>
      </c>
    </row>
    <row r="112">
      <c r="A112" s="40" t="n">
        <v>45820</v>
      </c>
      <c r="B112" s="41" t="n">
        <v>100000</v>
      </c>
      <c r="C112" s="42">
        <f>B112/MAX(B$2:B112)-1</f>
        <v/>
      </c>
    </row>
    <row r="113">
      <c r="A113" s="40" t="n">
        <v>45821</v>
      </c>
      <c r="B113" s="41" t="n">
        <v>100000</v>
      </c>
      <c r="C113" s="42">
        <f>B113/MAX(B$2:B113)-1</f>
        <v/>
      </c>
    </row>
    <row r="114">
      <c r="A114" s="40" t="n">
        <v>45824</v>
      </c>
      <c r="B114" s="41" t="n">
        <v>100000</v>
      </c>
      <c r="C114" s="42">
        <f>B114/MAX(B$2:B114)-1</f>
        <v/>
      </c>
    </row>
    <row r="115">
      <c r="A115" s="40" t="n">
        <v>45825</v>
      </c>
      <c r="B115" s="41" t="n">
        <v>100000</v>
      </c>
      <c r="C115" s="42">
        <f>B115/MAX(B$2:B115)-1</f>
        <v/>
      </c>
    </row>
    <row r="116">
      <c r="A116" s="40" t="n">
        <v>45826</v>
      </c>
      <c r="B116" s="41" t="n">
        <v>100000</v>
      </c>
      <c r="C116" s="42">
        <f>B116/MAX(B$2:B116)-1</f>
        <v/>
      </c>
    </row>
    <row r="117">
      <c r="A117" s="40" t="n">
        <v>45827</v>
      </c>
      <c r="B117" s="41" t="n">
        <v>100000</v>
      </c>
      <c r="C117" s="42">
        <f>B117/MAX(B$2:B117)-1</f>
        <v/>
      </c>
    </row>
    <row r="118">
      <c r="A118" s="40" t="n">
        <v>45828</v>
      </c>
      <c r="B118" s="41" t="n">
        <v>100000</v>
      </c>
      <c r="C118" s="42">
        <f>B118/MAX(B$2:B118)-1</f>
        <v/>
      </c>
    </row>
    <row r="119">
      <c r="A119" s="40" t="n">
        <v>45831</v>
      </c>
      <c r="B119" s="41" t="n">
        <v>100000</v>
      </c>
      <c r="C119" s="42">
        <f>B119/MAX(B$2:B119)-1</f>
        <v/>
      </c>
    </row>
    <row r="120">
      <c r="A120" s="40" t="n">
        <v>45832</v>
      </c>
      <c r="B120" s="41" t="n">
        <v>100000</v>
      </c>
      <c r="C120" s="42">
        <f>B120/MAX(B$2:B120)-1</f>
        <v/>
      </c>
    </row>
    <row r="121">
      <c r="A121" s="40" t="n">
        <v>45833</v>
      </c>
      <c r="B121" s="41" t="n">
        <v>100000</v>
      </c>
      <c r="C121" s="42">
        <f>B121/MAX(B$2:B121)-1</f>
        <v/>
      </c>
    </row>
    <row r="122">
      <c r="A122" s="40" t="n">
        <v>45834</v>
      </c>
      <c r="B122" s="41" t="n">
        <v>100000</v>
      </c>
      <c r="C122" s="42">
        <f>B122/MAX(B$2:B122)-1</f>
        <v/>
      </c>
    </row>
    <row r="123">
      <c r="A123" s="40" t="n">
        <v>45835</v>
      </c>
      <c r="B123" s="41" t="n">
        <v>100000</v>
      </c>
      <c r="C123" s="42">
        <f>B123/MAX(B$2:B123)-1</f>
        <v/>
      </c>
    </row>
    <row r="124">
      <c r="A124" s="40" t="n">
        <v>45838</v>
      </c>
      <c r="B124" s="41" t="n">
        <v>100000</v>
      </c>
      <c r="C124" s="42">
        <f>B124/MAX(B$2:B124)-1</f>
        <v/>
      </c>
    </row>
    <row r="125">
      <c r="A125" s="40" t="n">
        <v>45839</v>
      </c>
      <c r="B125" s="41" t="n">
        <v>100000</v>
      </c>
      <c r="C125" s="42">
        <f>B125/MAX(B$2:B125)-1</f>
        <v/>
      </c>
    </row>
    <row r="126">
      <c r="A126" s="40" t="n">
        <v>45840</v>
      </c>
      <c r="B126" s="41" t="n">
        <v>100000</v>
      </c>
      <c r="C126" s="42">
        <f>B126/MAX(B$2:B126)-1</f>
        <v/>
      </c>
    </row>
    <row r="127">
      <c r="A127" s="40" t="n">
        <v>45841</v>
      </c>
      <c r="B127" s="41" t="n">
        <v>100000</v>
      </c>
      <c r="C127" s="42">
        <f>B127/MAX(B$2:B127)-1</f>
        <v/>
      </c>
    </row>
    <row r="128">
      <c r="A128" s="40" t="n">
        <v>45842</v>
      </c>
      <c r="B128" s="41" t="n">
        <v>100000</v>
      </c>
      <c r="C128" s="42">
        <f>B128/MAX(B$2:B128)-1</f>
        <v/>
      </c>
    </row>
    <row r="129">
      <c r="A129" s="40" t="n">
        <v>45845</v>
      </c>
      <c r="B129" s="41" t="n">
        <v>100000</v>
      </c>
      <c r="C129" s="42">
        <f>B129/MAX(B$2:B129)-1</f>
        <v/>
      </c>
    </row>
    <row r="130">
      <c r="A130" s="40" t="n">
        <v>45846</v>
      </c>
      <c r="B130" s="41" t="n">
        <v>100000</v>
      </c>
      <c r="C130" s="42">
        <f>B130/MAX(B$2:B130)-1</f>
        <v/>
      </c>
    </row>
    <row r="131">
      <c r="A131" s="40" t="n">
        <v>45847</v>
      </c>
      <c r="B131" s="41" t="n">
        <v>100000</v>
      </c>
      <c r="C131" s="42">
        <f>B131/MAX(B$2:B131)-1</f>
        <v/>
      </c>
    </row>
    <row r="132">
      <c r="A132" s="40" t="n">
        <v>45848</v>
      </c>
      <c r="B132" s="41" t="n">
        <v>100000</v>
      </c>
      <c r="C132" s="42">
        <f>B132/MAX(B$2:B132)-1</f>
        <v/>
      </c>
    </row>
    <row r="133">
      <c r="A133" s="40" t="n">
        <v>45849</v>
      </c>
      <c r="B133" s="41" t="n">
        <v>100000</v>
      </c>
      <c r="C133" s="42">
        <f>B133/MAX(B$2:B133)-1</f>
        <v/>
      </c>
    </row>
    <row r="134">
      <c r="A134" s="40" t="n">
        <v>45852</v>
      </c>
      <c r="B134" s="41" t="n">
        <v>100000</v>
      </c>
      <c r="C134" s="42">
        <f>B134/MAX(B$2:B134)-1</f>
        <v/>
      </c>
    </row>
    <row r="135">
      <c r="A135" s="40" t="n">
        <v>45853</v>
      </c>
      <c r="B135" s="41" t="n">
        <v>100000</v>
      </c>
      <c r="C135" s="42">
        <f>B135/MAX(B$2:B135)-1</f>
        <v/>
      </c>
    </row>
    <row r="136">
      <c r="A136" s="40" t="n">
        <v>45854</v>
      </c>
      <c r="B136" s="41" t="n">
        <v>100000</v>
      </c>
      <c r="C136" s="42">
        <f>B136/MAX(B$2:B136)-1</f>
        <v/>
      </c>
    </row>
    <row r="137">
      <c r="A137" s="40" t="n">
        <v>45855</v>
      </c>
      <c r="B137" s="41" t="n">
        <v>100000</v>
      </c>
      <c r="C137" s="42">
        <f>B137/MAX(B$2:B137)-1</f>
        <v/>
      </c>
    </row>
    <row r="138">
      <c r="A138" s="40" t="n">
        <v>45856</v>
      </c>
      <c r="B138" s="41" t="n">
        <v>100000</v>
      </c>
      <c r="C138" s="42">
        <f>B138/MAX(B$2:B138)-1</f>
        <v/>
      </c>
    </row>
    <row r="139">
      <c r="A139" s="40" t="n">
        <v>45859</v>
      </c>
      <c r="B139" s="41" t="n">
        <v>100000</v>
      </c>
      <c r="C139" s="42">
        <f>B139/MAX(B$2:B139)-1</f>
        <v/>
      </c>
    </row>
    <row r="140">
      <c r="A140" s="40" t="n">
        <v>45860</v>
      </c>
      <c r="B140" s="41" t="n">
        <v>100000</v>
      </c>
      <c r="C140" s="42">
        <f>B140/MAX(B$2:B140)-1</f>
        <v/>
      </c>
    </row>
    <row r="141">
      <c r="A141" s="40" t="n">
        <v>45861</v>
      </c>
      <c r="B141" s="41" t="n">
        <v>100000</v>
      </c>
      <c r="C141" s="42">
        <f>B141/MAX(B$2:B141)-1</f>
        <v/>
      </c>
    </row>
    <row r="142">
      <c r="A142" s="40" t="n">
        <v>45862</v>
      </c>
      <c r="B142" s="41" t="n">
        <v>100000</v>
      </c>
      <c r="C142" s="42">
        <f>B142/MAX(B$2:B142)-1</f>
        <v/>
      </c>
    </row>
    <row r="143">
      <c r="A143" s="40" t="n">
        <v>45863</v>
      </c>
      <c r="B143" s="41" t="n">
        <v>100000</v>
      </c>
      <c r="C143" s="42">
        <f>B143/MAX(B$2:B143)-1</f>
        <v/>
      </c>
    </row>
    <row r="144">
      <c r="A144" s="40" t="n">
        <v>45866</v>
      </c>
      <c r="B144" s="41" t="n">
        <v>100000</v>
      </c>
      <c r="C144" s="42">
        <f>B144/MAX(B$2:B144)-1</f>
        <v/>
      </c>
    </row>
    <row r="145">
      <c r="A145" s="40" t="n">
        <v>45867</v>
      </c>
      <c r="B145" s="41" t="n">
        <v>100000</v>
      </c>
      <c r="C145" s="42">
        <f>B145/MAX(B$2:B145)-1</f>
        <v/>
      </c>
    </row>
    <row r="146">
      <c r="A146" s="40" t="n">
        <v>45868</v>
      </c>
      <c r="B146" s="41" t="n">
        <v>100000</v>
      </c>
      <c r="C146" s="42">
        <f>B146/MAX(B$2:B146)-1</f>
        <v/>
      </c>
    </row>
    <row r="147">
      <c r="A147" s="40" t="n">
        <v>45869</v>
      </c>
      <c r="B147" s="41" t="n">
        <v>100000</v>
      </c>
      <c r="C147" s="42">
        <f>B147/MAX(B$2:B147)-1</f>
        <v/>
      </c>
    </row>
    <row r="148">
      <c r="A148" s="40" t="n">
        <v>45870</v>
      </c>
      <c r="B148" s="41" t="n">
        <v>100000</v>
      </c>
      <c r="C148" s="42">
        <f>B148/MAX(B$2:B148)-1</f>
        <v/>
      </c>
    </row>
    <row r="149">
      <c r="A149" s="40" t="n">
        <v>45873</v>
      </c>
      <c r="B149" s="41" t="n">
        <v>100000</v>
      </c>
      <c r="C149" s="42">
        <f>B149/MAX(B$2:B149)-1</f>
        <v/>
      </c>
    </row>
    <row r="150">
      <c r="A150" s="40" t="n">
        <v>45874</v>
      </c>
      <c r="B150" s="41" t="n">
        <v>100000</v>
      </c>
      <c r="C150" s="42">
        <f>B150/MAX(B$2:B150)-1</f>
        <v/>
      </c>
    </row>
    <row r="151">
      <c r="A151" s="40" t="n">
        <v>45875</v>
      </c>
      <c r="B151" s="41" t="n">
        <v>100000</v>
      </c>
      <c r="C151" s="42">
        <f>B151/MAX(B$2:B151)-1</f>
        <v/>
      </c>
    </row>
    <row r="152">
      <c r="A152" s="40" t="n">
        <v>45876</v>
      </c>
      <c r="B152" s="41" t="n">
        <v>100000</v>
      </c>
      <c r="C152" s="42">
        <f>B152/MAX(B$2:B152)-1</f>
        <v/>
      </c>
    </row>
    <row r="153">
      <c r="A153" s="40" t="n">
        <v>45877</v>
      </c>
      <c r="B153" s="41" t="n">
        <v>100000</v>
      </c>
      <c r="C153" s="42">
        <f>B153/MAX(B$2:B153)-1</f>
        <v/>
      </c>
    </row>
    <row r="154">
      <c r="A154" s="40" t="n">
        <v>45880</v>
      </c>
      <c r="B154" s="41" t="n">
        <v>100000</v>
      </c>
      <c r="C154" s="42">
        <f>B154/MAX(B$2:B154)-1</f>
        <v/>
      </c>
    </row>
    <row r="155">
      <c r="A155" s="40" t="n">
        <v>45881</v>
      </c>
      <c r="B155" s="41" t="n">
        <v>100000</v>
      </c>
      <c r="C155" s="42">
        <f>B155/MAX(B$2:B155)-1</f>
        <v/>
      </c>
    </row>
    <row r="156">
      <c r="A156" s="40" t="n">
        <v>45882</v>
      </c>
      <c r="B156" s="41" t="n">
        <v>100000</v>
      </c>
      <c r="C156" s="42">
        <f>B156/MAX(B$2:B156)-1</f>
        <v/>
      </c>
    </row>
    <row r="157">
      <c r="A157" s="40" t="n">
        <v>45883</v>
      </c>
      <c r="B157" s="41" t="n">
        <v>100000</v>
      </c>
      <c r="C157" s="42">
        <f>B157/MAX(B$2:B157)-1</f>
        <v/>
      </c>
    </row>
    <row r="158">
      <c r="A158" s="40" t="n">
        <v>45887</v>
      </c>
      <c r="B158" s="41" t="n">
        <v>100000</v>
      </c>
      <c r="C158" s="42">
        <f>B158/MAX(B$2:B158)-1</f>
        <v/>
      </c>
    </row>
    <row r="159">
      <c r="A159" s="40" t="n">
        <v>45888</v>
      </c>
      <c r="B159" s="41" t="n">
        <v>100000</v>
      </c>
      <c r="C159" s="42">
        <f>B159/MAX(B$2:B159)-1</f>
        <v/>
      </c>
    </row>
    <row r="160">
      <c r="A160" s="40" t="n">
        <v>45889</v>
      </c>
      <c r="B160" s="41" t="n">
        <v>100000</v>
      </c>
      <c r="C160" s="42">
        <f>B160/MAX(B$2:B160)-1</f>
        <v/>
      </c>
    </row>
    <row r="161">
      <c r="A161" s="40" t="n">
        <v>45890</v>
      </c>
      <c r="B161" s="41" t="n">
        <v>100000</v>
      </c>
      <c r="C161" s="42">
        <f>B161/MAX(B$2:B161)-1</f>
        <v/>
      </c>
    </row>
    <row r="162">
      <c r="A162" s="40" t="n">
        <v>45891</v>
      </c>
      <c r="B162" s="41" t="n">
        <v>100000</v>
      </c>
      <c r="C162" s="42">
        <f>B162/MAX(B$2:B162)-1</f>
        <v/>
      </c>
    </row>
    <row r="163">
      <c r="A163" s="40" t="n">
        <v>45894</v>
      </c>
      <c r="B163" s="41" t="n">
        <v>100000</v>
      </c>
      <c r="C163" s="42">
        <f>B163/MAX(B$2:B163)-1</f>
        <v/>
      </c>
    </row>
    <row r="164">
      <c r="A164" s="40" t="n">
        <v>45895</v>
      </c>
      <c r="B164" s="41" t="n">
        <v>100000</v>
      </c>
      <c r="C164" s="42">
        <f>B164/MAX(B$2:B164)-1</f>
        <v/>
      </c>
    </row>
    <row r="165">
      <c r="A165" s="40" t="n">
        <v>45897</v>
      </c>
      <c r="B165" s="41" t="n">
        <v>100000</v>
      </c>
      <c r="C165" s="42">
        <f>B165/MAX(B$2:B165)-1</f>
        <v/>
      </c>
    </row>
    <row r="166">
      <c r="A166" s="40" t="n">
        <v>45898</v>
      </c>
      <c r="B166" s="41" t="n">
        <v>100000</v>
      </c>
      <c r="C166" s="42">
        <f>B166/MAX(B$2:B166)-1</f>
        <v/>
      </c>
    </row>
    <row r="167">
      <c r="A167" s="40" t="n">
        <v>45901</v>
      </c>
      <c r="B167" s="41" t="n">
        <v>100000</v>
      </c>
      <c r="C167" s="42">
        <f>B167/MAX(B$2:B167)-1</f>
        <v/>
      </c>
    </row>
    <row r="168">
      <c r="A168" s="40" t="n">
        <v>45902</v>
      </c>
      <c r="B168" s="41" t="n">
        <v>100000</v>
      </c>
      <c r="C168" s="42">
        <f>B168/MAX(B$2:B168)-1</f>
        <v/>
      </c>
    </row>
    <row r="169">
      <c r="A169" s="40" t="n">
        <v>45903</v>
      </c>
      <c r="B169" s="41" t="n">
        <v>100000</v>
      </c>
      <c r="C169" s="42">
        <f>B169/MAX(B$2:B169)-1</f>
        <v/>
      </c>
    </row>
    <row r="170">
      <c r="A170" s="40" t="n">
        <v>45904</v>
      </c>
      <c r="B170" s="41" t="n">
        <v>100000</v>
      </c>
      <c r="C170" s="42">
        <f>B170/MAX(B$2:B170)-1</f>
        <v/>
      </c>
    </row>
    <row r="171">
      <c r="A171" s="40" t="n">
        <v>45905</v>
      </c>
      <c r="B171" s="41" t="n">
        <v>100000</v>
      </c>
      <c r="C171" s="42">
        <f>B171/MAX(B$2:B171)-1</f>
        <v/>
      </c>
    </row>
    <row r="172">
      <c r="A172" s="40" t="n">
        <v>45908</v>
      </c>
      <c r="B172" s="41" t="n">
        <v>100000</v>
      </c>
      <c r="C172" s="42">
        <f>B172/MAX(B$2:B172)-1</f>
        <v/>
      </c>
    </row>
    <row r="173">
      <c r="A173" s="40" t="n">
        <v>45909</v>
      </c>
      <c r="B173" s="41" t="n">
        <v>100000</v>
      </c>
      <c r="C173" s="42">
        <f>B173/MAX(B$2:B173)-1</f>
        <v/>
      </c>
    </row>
    <row r="174">
      <c r="A174" s="40" t="n">
        <v>45910</v>
      </c>
      <c r="B174" s="41" t="n">
        <v>100000</v>
      </c>
      <c r="C174" s="42">
        <f>B174/MAX(B$2:B174)-1</f>
        <v/>
      </c>
    </row>
    <row r="175">
      <c r="A175" s="40" t="n">
        <v>45911</v>
      </c>
      <c r="B175" s="41" t="n">
        <v>100000</v>
      </c>
      <c r="C175" s="42">
        <f>B175/MAX(B$2:B175)-1</f>
        <v/>
      </c>
    </row>
    <row r="176">
      <c r="A176" s="40" t="n">
        <v>45912</v>
      </c>
      <c r="B176" s="41" t="n">
        <v>100000</v>
      </c>
      <c r="C176" s="42">
        <f>B176/MAX(B$2:B176)-1</f>
        <v/>
      </c>
    </row>
    <row r="177">
      <c r="A177" s="40" t="n">
        <v>45915</v>
      </c>
      <c r="B177" s="41" t="n">
        <v>100000</v>
      </c>
      <c r="C177" s="42">
        <f>B177/MAX(B$2:B177)-1</f>
        <v/>
      </c>
    </row>
    <row r="178">
      <c r="A178" s="40" t="n">
        <v>45916</v>
      </c>
      <c r="B178" s="41" t="n">
        <v>100000</v>
      </c>
      <c r="C178" s="42">
        <f>B178/MAX(B$2:B178)-1</f>
        <v/>
      </c>
    </row>
    <row r="179">
      <c r="A179" s="40" t="n">
        <v>45917</v>
      </c>
      <c r="B179" s="41" t="n">
        <v>100000</v>
      </c>
      <c r="C179" s="42">
        <f>B179/MAX(B$2:B179)-1</f>
        <v/>
      </c>
    </row>
    <row r="180">
      <c r="A180" s="40" t="n">
        <v>45918</v>
      </c>
      <c r="B180" s="41" t="n">
        <v>100000</v>
      </c>
      <c r="C180" s="42">
        <f>B180/MAX(B$2:B180)-1</f>
        <v/>
      </c>
    </row>
    <row r="181">
      <c r="A181" s="40" t="n">
        <v>45919</v>
      </c>
      <c r="B181" s="41" t="n">
        <v>100000</v>
      </c>
      <c r="C181" s="42">
        <f>B181/MAX(B$2:B181)-1</f>
        <v/>
      </c>
    </row>
    <row r="182">
      <c r="A182" s="40" t="n">
        <v>45922</v>
      </c>
      <c r="B182" s="41" t="n">
        <v>100000</v>
      </c>
      <c r="C182" s="42">
        <f>B182/MAX(B$2:B182)-1</f>
        <v/>
      </c>
    </row>
    <row r="183">
      <c r="A183" s="40" t="n">
        <v>45923</v>
      </c>
      <c r="B183" s="41" t="n">
        <v>100000</v>
      </c>
      <c r="C183" s="42">
        <f>B183/MAX(B$2:B183)-1</f>
        <v/>
      </c>
    </row>
    <row r="184">
      <c r="A184" s="40" t="n">
        <v>45924</v>
      </c>
      <c r="B184" s="41" t="n">
        <v>100000</v>
      </c>
      <c r="C184" s="42">
        <f>B184/MAX(B$2:B184)-1</f>
        <v/>
      </c>
    </row>
    <row r="185">
      <c r="A185" s="40" t="n">
        <v>45925</v>
      </c>
      <c r="B185" s="41" t="n">
        <v>100000</v>
      </c>
      <c r="C185" s="42">
        <f>B185/MAX(B$2:B185)-1</f>
        <v/>
      </c>
    </row>
    <row r="186">
      <c r="A186" s="40" t="n">
        <v>45926</v>
      </c>
      <c r="B186" s="41" t="n">
        <v>100000</v>
      </c>
      <c r="C186" s="42">
        <f>B186/MAX(B$2:B186)-1</f>
        <v/>
      </c>
    </row>
    <row r="187">
      <c r="A187" s="40" t="n">
        <v>45929</v>
      </c>
      <c r="B187" s="41" t="n">
        <v>100000</v>
      </c>
      <c r="C187" s="42">
        <f>B187/MAX(B$2:B187)-1</f>
        <v/>
      </c>
    </row>
    <row r="188">
      <c r="A188" s="40" t="n">
        <v>45930</v>
      </c>
      <c r="B188" s="41" t="n">
        <v>100000</v>
      </c>
      <c r="C188" s="42">
        <f>B188/MAX(B$2:B188)-1</f>
        <v/>
      </c>
    </row>
    <row r="189">
      <c r="A189" s="40" t="n">
        <v>45931</v>
      </c>
      <c r="B189" s="41" t="n">
        <v>100000</v>
      </c>
      <c r="C189" s="42">
        <f>B189/MAX(B$2:B189)-1</f>
        <v/>
      </c>
    </row>
    <row r="190">
      <c r="A190" s="40" t="n">
        <v>45933</v>
      </c>
      <c r="B190" s="41" t="n">
        <v>100000</v>
      </c>
      <c r="C190" s="42">
        <f>B190/MAX(B$2:B190)-1</f>
        <v/>
      </c>
    </row>
    <row r="191">
      <c r="A191" s="40" t="n">
        <v>45936</v>
      </c>
      <c r="B191" s="41" t="n">
        <v>100000</v>
      </c>
      <c r="C191" s="42">
        <f>B191/MAX(B$2:B191)-1</f>
        <v/>
      </c>
    </row>
    <row r="192">
      <c r="A192" s="40" t="n">
        <v>45937</v>
      </c>
      <c r="B192" s="41" t="n">
        <v>100000</v>
      </c>
      <c r="C192" s="42">
        <f>B192/MAX(B$2:B192)-1</f>
        <v/>
      </c>
    </row>
    <row r="193">
      <c r="A193" s="40" t="n">
        <v>45938</v>
      </c>
      <c r="B193" s="41" t="n">
        <v>100000</v>
      </c>
      <c r="C193" s="42">
        <f>B193/MAX(B$2:B193)-1</f>
        <v/>
      </c>
    </row>
    <row r="194">
      <c r="A194" s="40" t="n">
        <v>45939</v>
      </c>
      <c r="B194" s="41" t="n">
        <v>100000</v>
      </c>
      <c r="C194" s="42">
        <f>B194/MAX(B$2:B194)-1</f>
        <v/>
      </c>
    </row>
    <row r="195">
      <c r="A195" s="40" t="n">
        <v>45940</v>
      </c>
      <c r="B195" s="41" t="n">
        <v>100000</v>
      </c>
      <c r="C195" s="42">
        <f>B195/MAX(B$2:B195)-1</f>
        <v/>
      </c>
    </row>
    <row r="196">
      <c r="A196" s="40" t="n">
        <v>45943</v>
      </c>
      <c r="B196" s="41" t="n">
        <v>100000</v>
      </c>
      <c r="C196" s="42">
        <f>B196/MAX(B$2:B196)-1</f>
        <v/>
      </c>
    </row>
    <row r="197">
      <c r="A197" s="40" t="n">
        <v>45944</v>
      </c>
      <c r="B197" s="41" t="n">
        <v>100000</v>
      </c>
      <c r="C197" s="42">
        <f>B197/MAX(B$2:B197)-1</f>
        <v/>
      </c>
    </row>
    <row r="198">
      <c r="A198" s="40" t="n">
        <v>45945</v>
      </c>
      <c r="B198" s="41" t="n">
        <v>100000</v>
      </c>
      <c r="C198" s="42">
        <f>B198/MAX(B$2:B198)-1</f>
        <v/>
      </c>
    </row>
    <row r="199">
      <c r="A199" s="40" t="n">
        <v>45946</v>
      </c>
      <c r="B199" s="41" t="n">
        <v>100000</v>
      </c>
      <c r="C199" s="42">
        <f>B199/MAX(B$2:B199)-1</f>
        <v/>
      </c>
    </row>
    <row r="200">
      <c r="A200" s="40" t="n">
        <v>45947</v>
      </c>
      <c r="B200" s="41" t="n">
        <v>100000</v>
      </c>
      <c r="C200" s="42">
        <f>B200/MAX(B$2:B200)-1</f>
        <v/>
      </c>
    </row>
    <row r="201">
      <c r="A201" s="40" t="n">
        <v>45950</v>
      </c>
      <c r="B201" s="41" t="n">
        <v>100000</v>
      </c>
      <c r="C201" s="42">
        <f>B201/MAX(B$2:B201)-1</f>
        <v/>
      </c>
    </row>
    <row r="202">
      <c r="A202" s="40" t="n">
        <v>45951</v>
      </c>
      <c r="B202" s="41" t="n">
        <v>100000</v>
      </c>
      <c r="C202" s="42">
        <f>B202/MAX(B$2:B202)-1</f>
        <v/>
      </c>
    </row>
    <row r="203">
      <c r="A203" s="40" t="n">
        <v>45953</v>
      </c>
      <c r="B203" s="41" t="n">
        <v>100000</v>
      </c>
      <c r="C203" s="42">
        <f>B203/MAX(B$2:B203)-1</f>
        <v/>
      </c>
    </row>
    <row r="204">
      <c r="A204" s="40" t="n">
        <v>45954</v>
      </c>
      <c r="B204" s="41" t="n">
        <v>100000</v>
      </c>
      <c r="C204" s="42">
        <f>B204/MAX(B$2:B204)-1</f>
        <v/>
      </c>
    </row>
    <row r="205">
      <c r="A205" s="40" t="n">
        <v>45957</v>
      </c>
      <c r="B205" s="41" t="n">
        <v>100000</v>
      </c>
      <c r="C205" s="42">
        <f>B205/MAX(B$2:B205)-1</f>
        <v/>
      </c>
    </row>
    <row r="206">
      <c r="A206" s="40" t="n">
        <v>45958</v>
      </c>
      <c r="B206" s="41" t="n">
        <v>100000</v>
      </c>
      <c r="C206" s="42">
        <f>B206/MAX(B$2:B206)-1</f>
        <v/>
      </c>
    </row>
    <row r="207">
      <c r="A207" s="40" t="n">
        <v>45959</v>
      </c>
      <c r="B207" s="41" t="n">
        <v>100000</v>
      </c>
      <c r="C207" s="42">
        <f>B207/MAX(B$2:B207)-1</f>
        <v/>
      </c>
    </row>
    <row r="208">
      <c r="A208" s="40" t="n">
        <v>45960</v>
      </c>
      <c r="B208" s="41" t="n">
        <v>100000</v>
      </c>
      <c r="C208" s="42">
        <f>B208/MAX(B$2:B208)-1</f>
        <v/>
      </c>
    </row>
    <row r="209">
      <c r="A209" s="40" t="n">
        <v>45961</v>
      </c>
      <c r="B209" s="41" t="n">
        <v>100000</v>
      </c>
      <c r="C209" s="42">
        <f>B209/MAX(B$2:B209)-1</f>
        <v/>
      </c>
    </row>
    <row r="210">
      <c r="A210" s="40" t="n">
        <v>45964</v>
      </c>
      <c r="B210" s="41" t="n">
        <v>100000</v>
      </c>
      <c r="C210" s="42">
        <f>B210/MAX(B$2:B210)-1</f>
        <v/>
      </c>
    </row>
    <row r="211">
      <c r="A211" s="40" t="n">
        <v>45965</v>
      </c>
      <c r="B211" s="41" t="n">
        <v>99990.39</v>
      </c>
      <c r="C211" s="42">
        <f>B211/MAX(B$2:B211)-1</f>
        <v/>
      </c>
    </row>
    <row r="212">
      <c r="A212" s="40" t="n">
        <v>45967</v>
      </c>
      <c r="B212" s="41" t="n">
        <v>99934.42999999999</v>
      </c>
      <c r="C212" s="42">
        <f>B212/MAX(B$2:B212)-1</f>
        <v/>
      </c>
    </row>
    <row r="213">
      <c r="A213" s="40" t="n">
        <v>45968</v>
      </c>
      <c r="B213" s="41" t="n">
        <v>100010.22</v>
      </c>
      <c r="C213" s="42">
        <f>B213/MAX(B$2:B213)-1</f>
        <v/>
      </c>
    </row>
    <row r="214">
      <c r="A214" s="40" t="n">
        <v>45971</v>
      </c>
      <c r="B214" s="41" t="n">
        <v>99955.37</v>
      </c>
      <c r="C214" s="42">
        <f>B214/MAX(B$2:B214)-1</f>
        <v/>
      </c>
    </row>
    <row r="215">
      <c r="A215" s="40" t="n">
        <v>45972</v>
      </c>
      <c r="B215" s="41" t="n">
        <v>100207.2</v>
      </c>
      <c r="C215" s="42">
        <f>B215/MAX(B$2:B215)-1</f>
        <v/>
      </c>
    </row>
    <row r="216">
      <c r="A216" s="40" t="n">
        <v>45973</v>
      </c>
      <c r="B216" s="41" t="n">
        <v>100266.2</v>
      </c>
      <c r="C216" s="42">
        <f>B216/MAX(B$2:B216)-1</f>
        <v/>
      </c>
    </row>
    <row r="217">
      <c r="A217" s="40" t="n">
        <v>45974</v>
      </c>
      <c r="B217" s="41" t="n">
        <v>99869.36</v>
      </c>
      <c r="C217" s="42">
        <f>B217/MAX(B$2:B217)-1</f>
        <v/>
      </c>
    </row>
    <row r="218">
      <c r="A218" s="40" t="n">
        <v>45975</v>
      </c>
      <c r="B218" s="41" t="n">
        <v>100137.75</v>
      </c>
      <c r="C218" s="42">
        <f>B218/MAX(B$2:B218)-1</f>
        <v/>
      </c>
    </row>
    <row r="219">
      <c r="A219" s="40" t="n">
        <v>45978</v>
      </c>
      <c r="B219" s="41" t="n">
        <v>100400.12</v>
      </c>
      <c r="C219" s="42">
        <f>B219/MAX(B$2:B219)-1</f>
        <v/>
      </c>
    </row>
    <row r="220">
      <c r="A220" s="40" t="n">
        <v>45979</v>
      </c>
      <c r="B220" s="41" t="n">
        <v>100021.79</v>
      </c>
      <c r="C220" s="42">
        <f>B220/MAX(B$2:B220)-1</f>
        <v/>
      </c>
    </row>
    <row r="221">
      <c r="A221" s="40" t="n">
        <v>45980</v>
      </c>
      <c r="B221" s="41" t="n">
        <v>100206.65</v>
      </c>
      <c r="C221" s="42">
        <f>B221/MAX(B$2:B221)-1</f>
        <v/>
      </c>
    </row>
    <row r="222">
      <c r="A222" s="40" t="n">
        <v>45981</v>
      </c>
      <c r="B222" s="41" t="n">
        <v>100139.74</v>
      </c>
      <c r="C222" s="42">
        <f>B222/MAX(B$2:B222)-1</f>
        <v/>
      </c>
    </row>
    <row r="223">
      <c r="A223" s="40" t="n">
        <v>45982</v>
      </c>
      <c r="B223" s="41" t="n">
        <v>99919.25999999999</v>
      </c>
      <c r="C223" s="42">
        <f>B223/MAX(B$2:B223)-1</f>
        <v/>
      </c>
    </row>
    <row r="224">
      <c r="A224" s="40" t="n">
        <v>45985</v>
      </c>
      <c r="B224" s="41" t="n">
        <v>99511.86</v>
      </c>
      <c r="C224" s="42">
        <f>B224/MAX(B$2:B224)-1</f>
        <v/>
      </c>
    </row>
    <row r="225">
      <c r="A225" s="40" t="n">
        <v>45986</v>
      </c>
      <c r="B225" s="41" t="n">
        <v>99594.56</v>
      </c>
      <c r="C225" s="42">
        <f>B225/MAX(B$2:B225)-1</f>
        <v/>
      </c>
    </row>
    <row r="226">
      <c r="A226" s="40" t="n">
        <v>45987</v>
      </c>
      <c r="B226" s="41" t="n">
        <v>100593.3</v>
      </c>
      <c r="C226" s="42">
        <f>B226/MAX(B$2:B226)-1</f>
        <v/>
      </c>
    </row>
    <row r="227">
      <c r="A227" s="40" t="n">
        <v>45988</v>
      </c>
      <c r="B227" s="41" t="n">
        <v>100445.56</v>
      </c>
      <c r="C227" s="42">
        <f>B227/MAX(B$2:B227)-1</f>
        <v/>
      </c>
    </row>
    <row r="228">
      <c r="A228" s="40" t="n">
        <v>45989</v>
      </c>
      <c r="B228" s="41" t="n">
        <v>100420.94</v>
      </c>
      <c r="C228" s="42">
        <f>B228/MAX(B$2:B228)-1</f>
        <v/>
      </c>
    </row>
    <row r="229">
      <c r="A229" s="40" t="n">
        <v>45992</v>
      </c>
      <c r="B229" s="41" t="n">
        <v>100425.31</v>
      </c>
      <c r="C229" s="42">
        <f>B229/MAX(B$2:B229)-1</f>
        <v/>
      </c>
    </row>
    <row r="230">
      <c r="A230" s="40" t="n">
        <v>45993</v>
      </c>
      <c r="B230" s="41" t="n">
        <v>100362.68</v>
      </c>
      <c r="C230" s="42">
        <f>B230/MAX(B$2:B230)-1</f>
        <v/>
      </c>
    </row>
    <row r="231">
      <c r="A231" s="40" t="n">
        <v>45994</v>
      </c>
      <c r="B231" s="41" t="n">
        <v>100002.71</v>
      </c>
      <c r="C231" s="42">
        <f>B231/MAX(B$2:B231)-1</f>
        <v/>
      </c>
    </row>
    <row r="232">
      <c r="A232" s="40" t="n">
        <v>45995</v>
      </c>
      <c r="B232" s="41" t="n">
        <v>100033.28</v>
      </c>
      <c r="C232" s="42">
        <f>B232/MAX(B$2:B232)-1</f>
        <v/>
      </c>
    </row>
    <row r="233">
      <c r="A233" s="40" t="n">
        <v>45996</v>
      </c>
      <c r="B233" s="41" t="n">
        <v>99494.82000000001</v>
      </c>
      <c r="C233" s="42">
        <f>B233/MAX(B$2:B233)-1</f>
        <v/>
      </c>
    </row>
    <row r="234">
      <c r="A234" s="40" t="n">
        <v>45999</v>
      </c>
      <c r="B234" s="41" t="n">
        <v>98833.75999999999</v>
      </c>
      <c r="C234" s="42">
        <f>B234/MAX(B$2:B234)-1</f>
        <v/>
      </c>
    </row>
    <row r="235">
      <c r="A235" s="40" t="n">
        <v>46000</v>
      </c>
      <c r="B235" s="41" t="n">
        <v>98929.99000000001</v>
      </c>
      <c r="C235" s="42">
        <f>B235/MAX(B$2:B235)-1</f>
        <v/>
      </c>
    </row>
    <row r="236">
      <c r="A236" s="40" t="n">
        <v>46001</v>
      </c>
      <c r="B236" s="41" t="n">
        <v>98549.11</v>
      </c>
      <c r="C236" s="42">
        <f>B236/MAX(B$2:B236)-1</f>
        <v/>
      </c>
    </row>
    <row r="237">
      <c r="A237" s="40" t="n">
        <v>46002</v>
      </c>
      <c r="B237" s="41" t="n">
        <v>99497.55</v>
      </c>
      <c r="C237" s="42">
        <f>B237/MAX(B$2:B237)-1</f>
        <v/>
      </c>
    </row>
    <row r="238">
      <c r="A238" s="40" t="n">
        <v>46003</v>
      </c>
      <c r="B238" s="41" t="n">
        <v>100373.56</v>
      </c>
      <c r="C238" s="42">
        <f>B238/MAX(B$2:B238)-1</f>
        <v/>
      </c>
    </row>
    <row r="239">
      <c r="A239" s="40" t="n">
        <v>46006</v>
      </c>
      <c r="B239" s="41" t="n">
        <v>100595.41</v>
      </c>
      <c r="C239" s="42">
        <f>B239/MAX(B$2:B239)-1</f>
        <v/>
      </c>
    </row>
    <row r="240">
      <c r="A240" s="40" t="n">
        <v>46007</v>
      </c>
      <c r="B240" s="41" t="n">
        <v>99650.14</v>
      </c>
      <c r="C240" s="42">
        <f>B240/MAX(B$2:B240)-1</f>
        <v/>
      </c>
    </row>
    <row r="241">
      <c r="A241" s="40" t="n">
        <v>46008</v>
      </c>
      <c r="B241" s="41" t="n">
        <v>99352.35000000001</v>
      </c>
      <c r="C241" s="42">
        <f>B241/MAX(B$2:B241)-1</f>
        <v/>
      </c>
    </row>
    <row r="242">
      <c r="A242" s="40" t="n">
        <v>46009</v>
      </c>
      <c r="B242" s="41" t="n">
        <v>99098.31</v>
      </c>
      <c r="C242" s="42">
        <f>B242/MAX(B$2:B242)-1</f>
        <v/>
      </c>
    </row>
    <row r="243">
      <c r="A243" s="40" t="n">
        <v>46010</v>
      </c>
      <c r="B243" s="41" t="n">
        <v>99797.7</v>
      </c>
      <c r="C243" s="42">
        <f>B243/MAX(B$2:B243)-1</f>
        <v/>
      </c>
    </row>
    <row r="244">
      <c r="A244" s="40" t="n">
        <v>46013</v>
      </c>
      <c r="B244" s="41" t="n">
        <v>100240.94</v>
      </c>
      <c r="C244" s="42">
        <f>B244/MAX(B$2:B244)-1</f>
        <v/>
      </c>
    </row>
    <row r="245">
      <c r="A245" s="40" t="n">
        <v>46014</v>
      </c>
      <c r="B245" s="41" t="n">
        <v>100339.83</v>
      </c>
      <c r="C245" s="42">
        <f>B245/MAX(B$2:B245)-1</f>
        <v/>
      </c>
    </row>
    <row r="246">
      <c r="A246" s="40" t="n">
        <v>46015</v>
      </c>
      <c r="B246" s="41" t="n">
        <v>100371.35</v>
      </c>
      <c r="C246" s="42">
        <f>B246/MAX(B$2:B246)-1</f>
        <v/>
      </c>
    </row>
    <row r="247">
      <c r="A247" s="40" t="n">
        <v>46017</v>
      </c>
      <c r="B247" s="41" t="n">
        <v>100396.26</v>
      </c>
      <c r="C247" s="42">
        <f>B247/MAX(B$2:B247)-1</f>
        <v/>
      </c>
    </row>
    <row r="248">
      <c r="A248" s="40" t="n">
        <v>46020</v>
      </c>
      <c r="B248" s="41" t="n">
        <v>100479.6</v>
      </c>
      <c r="C248" s="42">
        <f>B248/MAX(B$2:B248)-1</f>
        <v/>
      </c>
    </row>
    <row r="249">
      <c r="A249" s="40" t="n">
        <v>46021</v>
      </c>
      <c r="B249" s="41" t="n">
        <v>100336.74</v>
      </c>
      <c r="C249" s="42">
        <f>B249/MAX(B$2:B249)-1</f>
        <v/>
      </c>
    </row>
    <row r="250">
      <c r="A250" s="40" t="n">
        <v>46022</v>
      </c>
      <c r="B250" s="41" t="n">
        <v>100601.94</v>
      </c>
      <c r="C250" s="42">
        <f>B250/MAX(B$2:B250)-1</f>
        <v/>
      </c>
    </row>
    <row r="251">
      <c r="A251" s="40" t="n">
        <v>46023</v>
      </c>
      <c r="B251" s="41" t="n">
        <v>100897.9</v>
      </c>
      <c r="C251" s="42">
        <f>B251/MAX(B$2:B251)-1</f>
        <v/>
      </c>
    </row>
    <row r="252">
      <c r="A252" s="40" t="n">
        <v>46024</v>
      </c>
      <c r="B252" s="41" t="n">
        <v>101396.03</v>
      </c>
      <c r="C252" s="42">
        <f>B252/MAX(B$2:B252)-1</f>
        <v/>
      </c>
    </row>
    <row r="253">
      <c r="A253" s="40" t="n">
        <v>46027</v>
      </c>
      <c r="B253" s="41" t="n">
        <v>101258.3</v>
      </c>
      <c r="C253" s="42">
        <f>B253/MAX(B$2:B253)-1</f>
        <v/>
      </c>
    </row>
    <row r="254">
      <c r="A254" s="40" t="n">
        <v>46028</v>
      </c>
      <c r="B254" s="41" t="n">
        <v>101503.66</v>
      </c>
      <c r="C254" s="42">
        <f>B254/MAX(B$2:B254)-1</f>
        <v/>
      </c>
    </row>
    <row r="255">
      <c r="A255" s="40" t="n">
        <v>46029</v>
      </c>
      <c r="B255" s="41" t="n">
        <v>101694.7</v>
      </c>
      <c r="C255" s="42">
        <f>B255/MAX(B$2:B255)-1</f>
        <v/>
      </c>
    </row>
    <row r="256">
      <c r="A256" s="40" t="n">
        <v>46030</v>
      </c>
      <c r="B256" s="41" t="n">
        <v>101800.43</v>
      </c>
      <c r="C256" s="42">
        <f>B256/MAX(B$2:B256)-1</f>
        <v/>
      </c>
    </row>
    <row r="257">
      <c r="A257" s="40" t="n">
        <v>46031</v>
      </c>
      <c r="B257" s="41" t="n">
        <v>101721.34</v>
      </c>
      <c r="C257" s="42">
        <f>B257/MAX(B$2:B257)-1</f>
        <v/>
      </c>
    </row>
    <row r="258">
      <c r="A258" s="40" t="n">
        <v>46034</v>
      </c>
      <c r="B258" s="41" t="n">
        <v>101804.24</v>
      </c>
      <c r="C258" s="42">
        <f>B258/MAX(B$2:B258)-1</f>
        <v/>
      </c>
    </row>
    <row r="259">
      <c r="A259" s="40" t="n">
        <v>46035</v>
      </c>
      <c r="B259" s="41" t="n">
        <v>101789.36</v>
      </c>
      <c r="C259" s="42">
        <f>B259/MAX(B$2:B259)-1</f>
        <v/>
      </c>
    </row>
    <row r="260">
      <c r="A260" s="40" t="n">
        <v>46036</v>
      </c>
      <c r="B260" s="41" t="n">
        <v>101880.96</v>
      </c>
      <c r="C260" s="42">
        <f>B260/MAX(B$2:B260)-1</f>
        <v/>
      </c>
    </row>
    <row r="261">
      <c r="A261" s="40" t="n">
        <v>46037</v>
      </c>
      <c r="B261" s="41" t="n">
        <v>101880.96</v>
      </c>
      <c r="C261" s="42">
        <f>B261/MAX(B$2:B261)-1</f>
        <v/>
      </c>
    </row>
    <row r="262">
      <c r="A262" s="40" t="n">
        <v>46038</v>
      </c>
      <c r="B262" s="41" t="n">
        <v>101813.12</v>
      </c>
      <c r="C262" s="42">
        <f>B262/MAX(B$2:B262)-1</f>
        <v/>
      </c>
    </row>
    <row r="263">
      <c r="A263" s="40" t="n">
        <v>46041</v>
      </c>
      <c r="B263" s="41" t="n">
        <v>101602.56</v>
      </c>
      <c r="C263" s="42">
        <f>B263/MAX(B$2:B263)-1</f>
        <v/>
      </c>
    </row>
    <row r="264">
      <c r="A264" s="40" t="n">
        <v>46042</v>
      </c>
      <c r="B264" s="41" t="n">
        <v>100684.84</v>
      </c>
      <c r="C264" s="42">
        <f>B264/MAX(B$2:B264)-1</f>
        <v/>
      </c>
    </row>
    <row r="265">
      <c r="A265" s="40" t="n">
        <v>46043</v>
      </c>
      <c r="B265" s="41" t="n">
        <v>100752.25</v>
      </c>
      <c r="C265" s="42">
        <f>B265/MAX(B$2:B265)-1</f>
        <v/>
      </c>
    </row>
    <row r="266">
      <c r="A266" s="40" t="n">
        <v>46044</v>
      </c>
      <c r="B266" s="41" t="n">
        <v>101298.05</v>
      </c>
      <c r="C266" s="42">
        <f>B266/MAX(B$2:B266)-1</f>
        <v/>
      </c>
    </row>
    <row r="267">
      <c r="A267" s="40" t="n">
        <v>46045</v>
      </c>
      <c r="B267" s="41" t="n">
        <v>99992.60000000001</v>
      </c>
      <c r="C267" s="42">
        <f>B267/MAX(B$2:B267)-1</f>
        <v/>
      </c>
    </row>
    <row r="268">
      <c r="A268" s="40" t="n">
        <v>46049</v>
      </c>
      <c r="B268" s="41" t="n">
        <v>99898.89999999999</v>
      </c>
      <c r="C268" s="42">
        <f>B268/MAX(B$2:B268)-1</f>
        <v/>
      </c>
    </row>
    <row r="269">
      <c r="A269" s="40" t="n">
        <v>46050</v>
      </c>
      <c r="B269" s="41" t="n">
        <v>99946.71000000001</v>
      </c>
      <c r="C269" s="42">
        <f>B269/MAX(B$2:B269)-1</f>
        <v/>
      </c>
    </row>
    <row r="270">
      <c r="A270" s="40" t="n">
        <v>46051</v>
      </c>
      <c r="B270" s="41" t="n">
        <v>100060.86</v>
      </c>
      <c r="C270" s="42">
        <f>B270/MAX(B$2:B270)-1</f>
        <v/>
      </c>
    </row>
    <row r="271">
      <c r="A271" s="40" t="n">
        <v>46052</v>
      </c>
      <c r="B271" s="41" t="n">
        <v>100246.88</v>
      </c>
      <c r="C271" s="42">
        <f>B271/MAX(B$2:B271)-1</f>
        <v/>
      </c>
    </row>
    <row r="272">
      <c r="A272" s="40" t="n">
        <v>46055</v>
      </c>
      <c r="B272" s="41" t="n">
        <v>99623</v>
      </c>
      <c r="C272" s="42">
        <f>B272/MAX(B$2:B272)-1</f>
        <v/>
      </c>
    </row>
    <row r="273">
      <c r="A273" s="40" t="n">
        <v>46056</v>
      </c>
      <c r="B273" s="41" t="n">
        <v>101992.85</v>
      </c>
      <c r="C273" s="42">
        <f>B273/MAX(B$2:B273)-1</f>
        <v/>
      </c>
    </row>
    <row r="274">
      <c r="A274" s="40" t="n">
        <v>46057</v>
      </c>
      <c r="B274" s="41" t="n">
        <v>102384.38</v>
      </c>
      <c r="C274" s="42">
        <f>B274/MAX(B$2:B274)-1</f>
        <v/>
      </c>
    </row>
    <row r="275">
      <c r="A275" s="40" t="n">
        <v>46058</v>
      </c>
      <c r="B275" s="41" t="n">
        <v>101990.96</v>
      </c>
      <c r="C275" s="42">
        <f>B275/MAX(B$2:B275)-1</f>
        <v/>
      </c>
    </row>
    <row r="276">
      <c r="A276" s="40" t="n">
        <v>46059</v>
      </c>
      <c r="B276" s="41" t="n">
        <v>102334.03</v>
      </c>
      <c r="C276" s="42">
        <f>B276/MAX(B$2:B276)-1</f>
        <v/>
      </c>
    </row>
    <row r="277">
      <c r="A277" s="40" t="n">
        <v>46062</v>
      </c>
      <c r="B277" s="41" t="n">
        <v>102434.18</v>
      </c>
      <c r="C277" s="42">
        <f>B277/MAX(B$2:B277)-1</f>
        <v/>
      </c>
    </row>
    <row r="278">
      <c r="A278" s="40" t="n">
        <v>46063</v>
      </c>
      <c r="B278" s="41" t="n">
        <v>102333.24</v>
      </c>
      <c r="C278" s="42">
        <f>B278/MAX(B$2:B278)-1</f>
        <v/>
      </c>
    </row>
    <row r="279">
      <c r="A279" s="40" t="n">
        <v>46064</v>
      </c>
      <c r="B279" s="41" t="n">
        <v>102361.55</v>
      </c>
      <c r="C279" s="42">
        <f>B279/MAX(B$2:B279)-1</f>
        <v/>
      </c>
    </row>
    <row r="280">
      <c r="A280" s="40" t="n">
        <v>46065</v>
      </c>
      <c r="B280" s="41" t="n">
        <v>101561.09</v>
      </c>
      <c r="C280" s="42">
        <f>B280/MAX(B$2:B280)-1</f>
        <v/>
      </c>
    </row>
    <row r="281">
      <c r="A281" s="40" t="n">
        <v>46066</v>
      </c>
      <c r="B281" s="41" t="n">
        <v>100965.12</v>
      </c>
      <c r="C281" s="42">
        <f>B281/MAX(B$2:B281)-1</f>
        <v/>
      </c>
    </row>
    <row r="282">
      <c r="A282" s="40" t="n">
        <v>46069</v>
      </c>
      <c r="B282" s="41" t="n">
        <v>101064.7</v>
      </c>
      <c r="C282" s="42">
        <f>B282/MAX(B$2:B282)-1</f>
        <v/>
      </c>
    </row>
    <row r="283">
      <c r="A283" s="40" t="n">
        <v>46070</v>
      </c>
      <c r="B283" s="41" t="n">
        <v>101000.47</v>
      </c>
      <c r="C283" s="42">
        <f>B283/MAX(B$2:B283)-1</f>
        <v/>
      </c>
    </row>
    <row r="284">
      <c r="A284" s="40" t="n">
        <v>46071</v>
      </c>
      <c r="B284" s="41" t="n">
        <v>101006.06</v>
      </c>
      <c r="C284" s="42">
        <f>B284/MAX(B$2:B284)-1</f>
        <v/>
      </c>
    </row>
    <row r="285">
      <c r="A285" s="40" t="n">
        <v>46072</v>
      </c>
      <c r="B285" s="41" t="n">
        <v>100503.07</v>
      </c>
      <c r="C285" s="42">
        <f>B285/MAX(B$2:B285)-1</f>
        <v/>
      </c>
    </row>
    <row r="286">
      <c r="A286" s="40" t="n">
        <v>46073</v>
      </c>
      <c r="B286" s="41" t="n">
        <v>100375.9</v>
      </c>
      <c r="C286" s="42">
        <f>B286/MAX(B$2:B286)-1</f>
        <v/>
      </c>
    </row>
    <row r="287">
      <c r="A287" s="40" t="n">
        <v>46076</v>
      </c>
      <c r="B287" s="41" t="n">
        <v>100431.96</v>
      </c>
      <c r="C287" s="42">
        <f>B287/MAX(B$2:B287)-1</f>
        <v/>
      </c>
    </row>
    <row r="288">
      <c r="A288" s="40" t="n">
        <v>46077</v>
      </c>
      <c r="B288" s="41" t="n">
        <v>99811.69</v>
      </c>
      <c r="C288" s="42">
        <f>B288/MAX(B$2:B288)-1</f>
        <v/>
      </c>
    </row>
    <row r="289">
      <c r="A289" s="40" t="n">
        <v>46078</v>
      </c>
      <c r="B289" s="41" t="n">
        <v>99494.45</v>
      </c>
      <c r="C289" s="42">
        <f>B289/MAX(B$2:B289)-1</f>
        <v/>
      </c>
    </row>
    <row r="290">
      <c r="A290" s="40" t="n">
        <v>46079</v>
      </c>
      <c r="B290" s="41" t="n">
        <v>99624.00999999999</v>
      </c>
      <c r="C290" s="42">
        <f>B290/MAX(B$2:B290)-1</f>
        <v/>
      </c>
    </row>
    <row r="291">
      <c r="A291" s="40" t="n">
        <v>46080</v>
      </c>
      <c r="B291" s="41" t="n">
        <v>99298.59</v>
      </c>
      <c r="C291" s="42">
        <f>B291/MAX(B$2:B291)-1</f>
        <v/>
      </c>
    </row>
    <row r="292">
      <c r="A292" s="40" t="n">
        <v>46083</v>
      </c>
      <c r="B292" s="41" t="n">
        <v>99054.06</v>
      </c>
      <c r="C292" s="42">
        <f>B292/MAX(B$2:B292)-1</f>
        <v/>
      </c>
    </row>
    <row r="293">
      <c r="A293" s="40" t="n">
        <v>46085</v>
      </c>
      <c r="B293" s="41" t="n">
        <v>98572.99000000001</v>
      </c>
      <c r="C293" s="42">
        <f>B293/MAX(B$2:B293)-1</f>
        <v/>
      </c>
    </row>
    <row r="294">
      <c r="A294" s="40" t="n">
        <v>46086</v>
      </c>
      <c r="B294" s="41" t="n">
        <v>98954.07000000001</v>
      </c>
      <c r="C294" s="42">
        <f>B294/MAX(B$2:B294)-1</f>
        <v/>
      </c>
    </row>
    <row r="295">
      <c r="A295" s="40" t="n">
        <v>46087</v>
      </c>
      <c r="B295" s="41" t="n">
        <v>98774.49000000001</v>
      </c>
      <c r="C295" s="42">
        <f>B295/MAX(B$2:B295)-1</f>
        <v/>
      </c>
    </row>
    <row r="296">
      <c r="A296" s="40" t="n">
        <v>46090</v>
      </c>
      <c r="B296" s="41" t="n">
        <v>98405.84</v>
      </c>
      <c r="C296" s="42">
        <f>B296/MAX(B$2:B296)-1</f>
        <v/>
      </c>
    </row>
    <row r="297">
      <c r="A297" s="40" t="n">
        <v>46091</v>
      </c>
      <c r="B297" s="41" t="n">
        <v>98771.98</v>
      </c>
      <c r="C297" s="42">
        <f>B297/MAX(B$2:B297)-1</f>
        <v/>
      </c>
    </row>
    <row r="298">
      <c r="A298" s="40" t="n">
        <v>46092</v>
      </c>
      <c r="B298" s="41" t="n">
        <v>98504.3</v>
      </c>
      <c r="C298" s="42">
        <f>B298/MAX(B$2:B298)-1</f>
        <v/>
      </c>
    </row>
    <row r="299">
      <c r="A299" s="40" t="n">
        <v>46093</v>
      </c>
      <c r="B299" s="41" t="n">
        <v>98020.32000000001</v>
      </c>
      <c r="C299" s="42">
        <f>B299/MAX(B$2:B299)-1</f>
        <v/>
      </c>
    </row>
    <row r="300">
      <c r="A300" s="40" t="n">
        <v>46094</v>
      </c>
      <c r="B300" s="41" t="n">
        <v>96968.22</v>
      </c>
      <c r="C300" s="42">
        <f>B300/MAX(B$2:B300)-1</f>
        <v/>
      </c>
    </row>
    <row r="301">
      <c r="A301" s="40" t="n">
        <v>46097</v>
      </c>
      <c r="B301" s="41" t="n">
        <v>97462.86</v>
      </c>
      <c r="C301" s="42">
        <f>B301/MAX(B$2:B301)-1</f>
        <v/>
      </c>
    </row>
    <row r="302">
      <c r="A302" s="40" t="n">
        <v>46098</v>
      </c>
      <c r="B302" s="41" t="n">
        <v>97683.3</v>
      </c>
      <c r="C302" s="42">
        <f>B302/MAX(B$2:B302)-1</f>
        <v/>
      </c>
    </row>
    <row r="303">
      <c r="A303" s="40" t="n">
        <v>46099</v>
      </c>
      <c r="B303" s="41" t="n">
        <v>98155.50999999999</v>
      </c>
      <c r="C303" s="42">
        <f>B303/MAX(B$2:B303)-1</f>
        <v/>
      </c>
    </row>
    <row r="304">
      <c r="A304" s="40" t="n">
        <v>46100</v>
      </c>
      <c r="B304" s="41" t="n">
        <v>96971.23</v>
      </c>
      <c r="C304" s="42">
        <f>B304/MAX(B$2:B304)-1</f>
        <v/>
      </c>
    </row>
    <row r="305">
      <c r="A305" s="40" t="n">
        <v>46101</v>
      </c>
      <c r="B305" s="41" t="n">
        <v>97171.92</v>
      </c>
      <c r="C305" s="42">
        <f>B305/MAX(B$2:B305)-1</f>
        <v/>
      </c>
    </row>
    <row r="306">
      <c r="A306" s="40" t="n">
        <v>46104</v>
      </c>
      <c r="B306" s="41" t="n">
        <v>95921.13</v>
      </c>
      <c r="C306" s="42">
        <f>B306/MAX(B$2:B306)-1</f>
        <v/>
      </c>
    </row>
    <row r="307">
      <c r="A307" s="40" t="n">
        <v>46105</v>
      </c>
      <c r="B307" s="41" t="n">
        <v>97079.89</v>
      </c>
      <c r="C307" s="42">
        <f>B307/MAX(B$2:B307)-1</f>
        <v/>
      </c>
    </row>
    <row r="308">
      <c r="A308" s="40" t="n">
        <v>46106</v>
      </c>
      <c r="B308" s="41" t="n">
        <v>98351.31</v>
      </c>
      <c r="C308" s="42">
        <f>B308/MAX(B$2:B308)-1</f>
        <v/>
      </c>
    </row>
    <row r="309">
      <c r="A309" s="40" t="n">
        <v>46108</v>
      </c>
      <c r="B309" s="41" t="n">
        <v>97511.50999999999</v>
      </c>
      <c r="C309" s="42">
        <f>B309/MAX(B$2:B309)-1</f>
        <v/>
      </c>
    </row>
    <row r="310">
      <c r="A310" s="40" t="n">
        <v>46111</v>
      </c>
      <c r="B310" s="41" t="n">
        <v>96339.42</v>
      </c>
      <c r="C310" s="42">
        <f>B310/MAX(B$2:B310)-1</f>
        <v/>
      </c>
    </row>
    <row r="311">
      <c r="A311" s="40" t="n">
        <v>46113</v>
      </c>
      <c r="B311" s="41" t="n">
        <v>97252.12</v>
      </c>
      <c r="C311" s="42">
        <f>B311/MAX(B$2:B311)-1</f>
        <v/>
      </c>
    </row>
    <row r="312">
      <c r="A312" s="40" t="n">
        <v>46114</v>
      </c>
      <c r="B312" s="41" t="n">
        <v>96914.88</v>
      </c>
      <c r="C312" s="42">
        <f>B312/MAX(B$2:B312)-1</f>
        <v/>
      </c>
    </row>
    <row r="313">
      <c r="A313" s="40" t="n">
        <v>46118</v>
      </c>
      <c r="B313" s="41" t="n">
        <v>97517</v>
      </c>
      <c r="C313" s="42">
        <f>B313/MAX(B$2:B313)-1</f>
        <v/>
      </c>
    </row>
    <row r="314">
      <c r="A314" s="40" t="n">
        <v>46119</v>
      </c>
      <c r="B314" s="41" t="n">
        <v>97593.34</v>
      </c>
      <c r="C314" s="42">
        <f>B314/MAX(B$2:B314)-1</f>
        <v/>
      </c>
    </row>
    <row r="315">
      <c r="A315" s="40" t="n">
        <v>46120</v>
      </c>
      <c r="B315" s="41" t="n">
        <v>98725.87</v>
      </c>
      <c r="C315" s="42">
        <f>B315/MAX(B$2:B315)-1</f>
        <v/>
      </c>
    </row>
    <row r="316">
      <c r="A316" s="40" t="n">
        <v>46121</v>
      </c>
      <c r="B316" s="41" t="n">
        <v>98664.07000000001</v>
      </c>
      <c r="C316" s="42">
        <f>B316/MAX(B$2:B316)-1</f>
        <v/>
      </c>
    </row>
    <row r="317">
      <c r="A317" s="40" t="n">
        <v>46122</v>
      </c>
      <c r="B317" s="41" t="n">
        <v>99055.73</v>
      </c>
      <c r="C317" s="42">
        <f>B317/MAX(B$2:B317)-1</f>
        <v/>
      </c>
    </row>
    <row r="318">
      <c r="A318" s="40" t="n">
        <v>46125</v>
      </c>
      <c r="B318" s="41" t="n">
        <v>98843.17</v>
      </c>
      <c r="C318" s="42">
        <f>B318/MAX(B$2:B318)-1</f>
        <v/>
      </c>
    </row>
    <row r="319">
      <c r="A319" s="40" t="n">
        <v>46127</v>
      </c>
      <c r="B319" s="41" t="n">
        <v>99156.28</v>
      </c>
      <c r="C319" s="42">
        <f>B319/MAX(B$2:B319)-1</f>
        <v/>
      </c>
    </row>
    <row r="320">
      <c r="A320" s="40" t="n">
        <v>46128</v>
      </c>
      <c r="B320" s="41" t="n">
        <v>99124.19</v>
      </c>
      <c r="C320" s="42">
        <f>B320/MAX(B$2:B320)-1</f>
        <v/>
      </c>
    </row>
    <row r="321">
      <c r="A321" s="40" t="n">
        <v>46129</v>
      </c>
      <c r="B321" s="41" t="n">
        <v>99454.28999999999</v>
      </c>
      <c r="C321" s="42">
        <f>B321/MAX(B$2:B321)-1</f>
        <v/>
      </c>
    </row>
    <row r="322">
      <c r="A322" s="40" t="n">
        <v>46132</v>
      </c>
      <c r="B322" s="41" t="n">
        <v>99613.42999999999</v>
      </c>
      <c r="C322" s="42">
        <f>B322/MAX(B$2:B322)-1</f>
        <v/>
      </c>
    </row>
    <row r="323">
      <c r="A323" s="40" t="n">
        <v>46133</v>
      </c>
      <c r="B323" s="41" t="n">
        <v>99613.42999999999</v>
      </c>
      <c r="C323" s="42">
        <f>B323/MAX(B$2:B323)-1</f>
        <v/>
      </c>
    </row>
    <row r="324">
      <c r="A324" s="40" t="n">
        <v>46134</v>
      </c>
      <c r="B324" s="41" t="n">
        <v>99613.42999999999</v>
      </c>
      <c r="C324" s="42">
        <f>B324/MAX(B$2:B324)-1</f>
        <v/>
      </c>
    </row>
    <row r="325">
      <c r="A325" s="40" t="n">
        <v>46135</v>
      </c>
      <c r="B325" s="41" t="n">
        <v>99613.42999999999</v>
      </c>
      <c r="C325" s="42">
        <f>B325/MAX(B$2:B325)-1</f>
        <v/>
      </c>
    </row>
    <row r="326">
      <c r="A326" s="40" t="n">
        <v>46136</v>
      </c>
      <c r="B326" s="41" t="n">
        <v>99613.42999999999</v>
      </c>
      <c r="C326" s="42">
        <f>B326/MAX(B$2:B326)-1</f>
        <v/>
      </c>
    </row>
    <row r="327">
      <c r="A327" s="40" t="n">
        <v>46139</v>
      </c>
      <c r="B327" s="41" t="n">
        <v>99613.42999999999</v>
      </c>
      <c r="C327" s="42">
        <f>B327/MAX(B$2:B327)-1</f>
        <v/>
      </c>
    </row>
    <row r="328">
      <c r="A328" s="40" t="n">
        <v>46140</v>
      </c>
      <c r="B328" s="41" t="n">
        <v>99613.42999999999</v>
      </c>
      <c r="C328" s="42">
        <f>B328/MAX(B$2:B328)-1</f>
        <v/>
      </c>
    </row>
    <row r="329">
      <c r="A329" s="40" t="n">
        <v>46141</v>
      </c>
      <c r="B329" s="41" t="n">
        <v>99613.42999999999</v>
      </c>
      <c r="C329" s="42">
        <f>B329/MAX(B$2:B329)-1</f>
        <v/>
      </c>
    </row>
    <row r="330">
      <c r="A330" s="40" t="n">
        <v>46142</v>
      </c>
      <c r="B330" s="41" t="n">
        <v>99613.42999999999</v>
      </c>
      <c r="C330" s="42">
        <f>B330/MAX(B$2:B330)-1</f>
        <v/>
      </c>
    </row>
    <row r="331">
      <c r="A331" s="40" t="n">
        <v>46146</v>
      </c>
      <c r="B331" s="41" t="n">
        <v>99613.42999999999</v>
      </c>
      <c r="C331" s="42">
        <f>B331/MAX(B$2:B331)-1</f>
        <v/>
      </c>
    </row>
    <row r="332">
      <c r="A332" s="40" t="n">
        <v>46147</v>
      </c>
      <c r="B332" s="41" t="n">
        <v>99613.42999999999</v>
      </c>
      <c r="C332" s="42">
        <f>B332/MAX(B$2:B332)-1</f>
        <v/>
      </c>
    </row>
    <row r="333">
      <c r="A333" s="40" t="n">
        <v>46148</v>
      </c>
      <c r="B333" s="41" t="n">
        <v>99613.42999999999</v>
      </c>
      <c r="C333" s="42">
        <f>B333/MAX(B$2:B333)-1</f>
        <v/>
      </c>
    </row>
    <row r="334">
      <c r="A334" s="40" t="n">
        <v>46149</v>
      </c>
      <c r="B334" s="41" t="n">
        <v>99613.42999999999</v>
      </c>
      <c r="C334" s="42">
        <f>B334/MAX(B$2:B334)-1</f>
        <v/>
      </c>
    </row>
    <row r="335">
      <c r="A335" s="40" t="n">
        <v>46150</v>
      </c>
      <c r="B335" s="41" t="n">
        <v>99613.42999999999</v>
      </c>
      <c r="C335" s="42">
        <f>B335/MAX(B$2:B335)-1</f>
        <v/>
      </c>
    </row>
    <row r="336">
      <c r="A336" s="40" t="n">
        <v>46153</v>
      </c>
      <c r="B336" s="41" t="n">
        <v>99603.87</v>
      </c>
      <c r="C336" s="42">
        <f>B336/MAX(B$2:B336)-1</f>
        <v/>
      </c>
    </row>
    <row r="337">
      <c r="A337" s="40" t="n">
        <v>46154</v>
      </c>
      <c r="B337" s="41" t="n">
        <v>99613.69</v>
      </c>
      <c r="C337" s="42">
        <f>B337/MAX(B$2:B337)-1</f>
        <v/>
      </c>
    </row>
    <row r="338">
      <c r="A338" s="40" t="n">
        <v>46155</v>
      </c>
      <c r="B338" s="41" t="n">
        <v>99569.49000000001</v>
      </c>
      <c r="C338" s="42">
        <f>B338/MAX(B$2:B338)-1</f>
        <v/>
      </c>
    </row>
    <row r="339">
      <c r="A339" s="40" t="n">
        <v>46156</v>
      </c>
      <c r="B339" s="41" t="n">
        <v>99665.75</v>
      </c>
      <c r="C339" s="42">
        <f>B339/MAX(B$2:B339)-1</f>
        <v/>
      </c>
    </row>
    <row r="340">
      <c r="A340" s="40" t="n">
        <v>46157</v>
      </c>
      <c r="B340" s="41" t="n">
        <v>99672.25</v>
      </c>
      <c r="C340" s="42">
        <f>B340/MAX(B$2:B340)-1</f>
        <v/>
      </c>
    </row>
    <row r="341">
      <c r="A341" s="40" t="n">
        <v>46160</v>
      </c>
      <c r="B341" s="41" t="n">
        <v>99424.50999999999</v>
      </c>
      <c r="C341" s="42">
        <f>B341/MAX(B$2:B341)-1</f>
        <v/>
      </c>
    </row>
    <row r="342">
      <c r="A342" s="40" t="n">
        <v>46161</v>
      </c>
      <c r="B342" s="41" t="n">
        <v>99585.85000000001</v>
      </c>
      <c r="C342" s="42">
        <f>B342/MAX(B$2:B342)-1</f>
        <v/>
      </c>
    </row>
    <row r="343">
      <c r="A343" s="40" t="n">
        <v>46162</v>
      </c>
      <c r="B343" s="41" t="n">
        <v>99649.55</v>
      </c>
      <c r="C343" s="42">
        <f>B343/MAX(B$2:B343)-1</f>
        <v/>
      </c>
    </row>
    <row r="344">
      <c r="A344" s="40" t="n">
        <v>46163</v>
      </c>
      <c r="B344" s="41" t="n">
        <v>99638.05</v>
      </c>
      <c r="C344" s="42">
        <f>B344/MAX(B$2:B344)-1</f>
        <v/>
      </c>
    </row>
    <row r="345">
      <c r="A345" s="40" t="n">
        <v>46164</v>
      </c>
      <c r="B345" s="41" t="n">
        <v>99448.60000000001</v>
      </c>
      <c r="C345" s="42">
        <f>B345/MAX(B$2:B345)-1</f>
        <v/>
      </c>
    </row>
    <row r="346">
      <c r="A346" s="40" t="n">
        <v>46167</v>
      </c>
      <c r="B346" s="41" t="n">
        <v>99687.09</v>
      </c>
      <c r="C346" s="42">
        <f>B346/MAX(B$2:B346)-1</f>
        <v/>
      </c>
    </row>
    <row r="347">
      <c r="A347" s="40" t="n">
        <v>46168</v>
      </c>
      <c r="B347" s="41" t="n">
        <v>99584.12</v>
      </c>
      <c r="C347" s="42">
        <f>B347/MAX(B$2:B347)-1</f>
        <v/>
      </c>
    </row>
    <row r="348">
      <c r="A348" s="40" t="n">
        <v>46169</v>
      </c>
      <c r="B348" s="41" t="n">
        <v>99826.75999999999</v>
      </c>
      <c r="C348" s="42">
        <f>B348/MAX(B$2:B348)-1</f>
        <v/>
      </c>
    </row>
    <row r="349">
      <c r="A349" s="40" t="n">
        <v>46171</v>
      </c>
      <c r="B349" s="41" t="n">
        <v>99467.64999999999</v>
      </c>
      <c r="C349" s="42">
        <f>B349/MAX(B$2:B349)-1</f>
        <v/>
      </c>
    </row>
    <row r="350">
      <c r="A350" s="40" t="n">
        <v>46174</v>
      </c>
      <c r="B350" s="41" t="n">
        <v>99179.60000000001</v>
      </c>
      <c r="C350" s="42">
        <f>B350/MAX(B$2:B350)-1</f>
        <v/>
      </c>
    </row>
    <row r="351">
      <c r="A351" s="40" t="n">
        <v>46175</v>
      </c>
      <c r="B351" s="41" t="n">
        <v>99091.53</v>
      </c>
      <c r="C351" s="42">
        <f>B351/MAX(B$2:B351)-1</f>
        <v/>
      </c>
    </row>
    <row r="352">
      <c r="A352" s="40" t="n">
        <v>46176</v>
      </c>
      <c r="B352" s="41" t="n">
        <v>99408.23</v>
      </c>
      <c r="C352" s="42">
        <f>B352/MAX(B$2:B352)-1</f>
        <v/>
      </c>
    </row>
    <row r="353">
      <c r="A353" s="40" t="n">
        <v>46177</v>
      </c>
      <c r="B353" s="41" t="n">
        <v>99463.39999999999</v>
      </c>
      <c r="C353" s="42">
        <f>B353/MAX(B$2:B353)-1</f>
        <v/>
      </c>
    </row>
    <row r="354">
      <c r="A354" s="40" t="n">
        <v>46178</v>
      </c>
      <c r="B354" s="41" t="n">
        <v>99252.35000000001</v>
      </c>
      <c r="C354" s="42">
        <f>B354/MAX(B$2:B354)-1</f>
        <v/>
      </c>
    </row>
    <row r="355">
      <c r="A355" s="40" t="n">
        <v>46181</v>
      </c>
      <c r="B355" s="41" t="n">
        <v>99463.94</v>
      </c>
      <c r="C355" s="42">
        <f>B355/MAX(B$2:B355)-1</f>
        <v/>
      </c>
    </row>
    <row r="356">
      <c r="A356" s="40" t="n">
        <v>46182</v>
      </c>
      <c r="B356" s="41" t="n">
        <v>99136.63</v>
      </c>
      <c r="C356" s="42">
        <f>B356/MAX(B$2:B356)-1</f>
        <v/>
      </c>
    </row>
    <row r="357">
      <c r="A357" s="40" t="n">
        <v>46183</v>
      </c>
      <c r="B357" s="41" t="n">
        <v>98817.47</v>
      </c>
      <c r="C357" s="42">
        <f>B357/MAX(B$2:B357)-1</f>
        <v/>
      </c>
    </row>
    <row r="358">
      <c r="A358" s="40" t="n">
        <v>46184</v>
      </c>
      <c r="B358" s="41" t="n">
        <v>98820.83</v>
      </c>
      <c r="C358" s="42">
        <f>B358/MAX(B$2:B358)-1</f>
        <v/>
      </c>
    </row>
    <row r="359">
      <c r="A359" s="40" t="n">
        <v>46185</v>
      </c>
      <c r="B359" s="41" t="n">
        <v>98774.03</v>
      </c>
      <c r="C359" s="42">
        <f>B359/MAX(B$2:B359)-1</f>
        <v/>
      </c>
    </row>
    <row r="360">
      <c r="A360" s="40" t="n">
        <v>46188</v>
      </c>
      <c r="B360" s="41" t="n">
        <v>98525.72</v>
      </c>
      <c r="C360" s="42">
        <f>B360/MAX(B$2:B360)-1</f>
        <v/>
      </c>
    </row>
    <row r="361">
      <c r="A361" s="40" t="n">
        <v>46189</v>
      </c>
      <c r="B361" s="41" t="n">
        <v>98800.50999999999</v>
      </c>
      <c r="C361" s="42">
        <f>B361/MAX(B$2:B361)-1</f>
        <v/>
      </c>
    </row>
    <row r="362">
      <c r="A362" s="40" t="n">
        <v>46190</v>
      </c>
      <c r="B362" s="41" t="n">
        <v>99126.21000000001</v>
      </c>
      <c r="C362" s="42">
        <f>B362/MAX(B$2:B362)-1</f>
        <v/>
      </c>
    </row>
    <row r="363">
      <c r="A363" s="40" t="n">
        <v>46191</v>
      </c>
      <c r="B363" s="41" t="n">
        <v>99466.87</v>
      </c>
      <c r="C363" s="42">
        <f>B363/MAX(B$2:B363)-1</f>
        <v/>
      </c>
    </row>
    <row r="364">
      <c r="A364" s="40" t="n">
        <v>46192</v>
      </c>
      <c r="B364" s="41" t="n">
        <v>99658.24000000001</v>
      </c>
      <c r="C364" s="42">
        <f>B364/MAX(B$2:B364)-1</f>
        <v/>
      </c>
    </row>
    <row r="365">
      <c r="A365" s="40" t="n">
        <v>46195</v>
      </c>
      <c r="B365" s="41" t="n">
        <v>99622.32000000001</v>
      </c>
      <c r="C365" s="42">
        <f>B365/MAX(B$2:B365)-1</f>
        <v/>
      </c>
    </row>
    <row r="366">
      <c r="A366" s="40" t="n">
        <v>46196</v>
      </c>
      <c r="B366" s="41" t="n">
        <v>99045.53999999999</v>
      </c>
      <c r="C366" s="42">
        <f>B366/MAX(B$2:B366)-1</f>
        <v/>
      </c>
    </row>
    <row r="367">
      <c r="A367" s="40" t="n">
        <v>46197</v>
      </c>
      <c r="B367" s="41" t="n">
        <v>98377.63</v>
      </c>
      <c r="C367" s="42">
        <f>B367/MAX(B$2:B367)-1</f>
        <v/>
      </c>
    </row>
    <row r="368">
      <c r="A368" s="40" t="n">
        <v>46198</v>
      </c>
      <c r="B368" s="41" t="n">
        <v>97648.73</v>
      </c>
      <c r="C368" s="42">
        <f>B368/MAX(B$2:B368)-1</f>
        <v/>
      </c>
    </row>
    <row r="369">
      <c r="A369" s="40" t="n">
        <v>46202</v>
      </c>
      <c r="B369" s="41" t="n">
        <v>98185.14999999999</v>
      </c>
      <c r="C369" s="42">
        <f>B369/MAX(B$2:B369)-1</f>
        <v/>
      </c>
    </row>
    <row r="370">
      <c r="A370" s="40" t="n">
        <v>46203</v>
      </c>
      <c r="B370" s="41" t="n">
        <v>97930.00999999999</v>
      </c>
      <c r="C370" s="42">
        <f>B370/MAX(B$2:B370)-1</f>
        <v/>
      </c>
    </row>
    <row r="371">
      <c r="A371" s="40" t="n">
        <v>46204</v>
      </c>
      <c r="B371" s="41" t="n">
        <v>97589.97</v>
      </c>
      <c r="C371" s="42">
        <f>B371/MAX(B$2:B371)-1</f>
        <v/>
      </c>
    </row>
    <row r="372">
      <c r="A372" s="40" t="n">
        <v>46205</v>
      </c>
      <c r="B372" s="41" t="n">
        <v>97989.60000000001</v>
      </c>
      <c r="C372" s="42">
        <f>B372/MAX(B$2:B372)-1</f>
        <v/>
      </c>
    </row>
    <row r="373">
      <c r="A373" s="40" t="n">
        <v>46206</v>
      </c>
      <c r="B373" s="41" t="n">
        <v>98122.94</v>
      </c>
      <c r="C373" s="42">
        <f>B373/MAX(B$2:B373)-1</f>
        <v/>
      </c>
    </row>
    <row r="374">
      <c r="A374" s="40" t="n">
        <v>46209</v>
      </c>
      <c r="B374" s="41" t="n">
        <v>98328.48</v>
      </c>
      <c r="C374" s="42">
        <f>B374/MAX(B$2:B374)-1</f>
        <v/>
      </c>
    </row>
    <row r="375">
      <c r="A375" s="40" t="n">
        <v>46210</v>
      </c>
      <c r="B375" s="41" t="n">
        <v>98086.31</v>
      </c>
      <c r="C375" s="42">
        <f>B375/MAX(B$2:B375)-1</f>
        <v/>
      </c>
    </row>
    <row r="376">
      <c r="A376" s="40" t="n">
        <v>46211</v>
      </c>
      <c r="B376" s="41" t="n">
        <v>97515.49000000001</v>
      </c>
      <c r="C376" s="42">
        <f>B376/MAX(B$2:B376)-1</f>
        <v/>
      </c>
    </row>
    <row r="377">
      <c r="A377" s="40" t="n">
        <v>46212</v>
      </c>
      <c r="B377" s="41" t="n">
        <v>97408.67999999999</v>
      </c>
      <c r="C377" s="42">
        <f>B377/MAX(B$2:B377)-1</f>
        <v/>
      </c>
    </row>
    <row r="378">
      <c r="A378" s="40" t="n">
        <v>46213</v>
      </c>
      <c r="B378" s="41" t="n">
        <v>97886.8</v>
      </c>
      <c r="C378" s="42">
        <f>B378/MAX(B$2:B378)-1</f>
        <v/>
      </c>
    </row>
    <row r="379">
      <c r="A379" s="40" t="n">
        <v>46216</v>
      </c>
      <c r="B379" s="41" t="n">
        <v>97919.67</v>
      </c>
      <c r="C379" s="42">
        <f>B379/MAX(B$2:B379)-1</f>
        <v/>
      </c>
    </row>
    <row r="380">
      <c r="A380" s="40" t="n">
        <v>46217</v>
      </c>
      <c r="B380" s="41" t="n">
        <v>98051.91</v>
      </c>
      <c r="C380" s="42">
        <f>B380/MAX(B$2:B380)-1</f>
        <v/>
      </c>
    </row>
    <row r="381">
      <c r="A381" s="40" t="n">
        <v>46218</v>
      </c>
      <c r="B381" s="41" t="n">
        <v>97204.11</v>
      </c>
      <c r="C381" s="42">
        <f>B381/MAX(B$2:B381)-1</f>
        <v/>
      </c>
    </row>
    <row r="382">
      <c r="A382" s="40" t="n">
        <v>46219</v>
      </c>
      <c r="B382" s="41" t="n">
        <v>97150.00999999999</v>
      </c>
      <c r="C382" s="42">
        <f>B382/MAX(B$2:B382)-1</f>
        <v/>
      </c>
    </row>
    <row r="383">
      <c r="A383" s="40" t="n">
        <v>46220</v>
      </c>
      <c r="B383" s="41" t="n">
        <v>97224.12</v>
      </c>
      <c r="C383" s="42">
        <f>B383/MAX(B$2:B383)-1</f>
        <v/>
      </c>
    </row>
    <row r="384">
      <c r="A384" s="40" t="n">
        <v>46223</v>
      </c>
      <c r="B384" s="41" t="n">
        <v>97927.34</v>
      </c>
      <c r="C384" s="42">
        <f>B384/MAX(B$2:B384)-1</f>
        <v/>
      </c>
    </row>
    <row r="385">
      <c r="A385" s="40" t="n">
        <v>46224</v>
      </c>
      <c r="B385" s="41" t="n">
        <v>98137.31</v>
      </c>
      <c r="C385" s="42">
        <f>B385/MAX(B$2:B385)-1</f>
        <v/>
      </c>
    </row>
    <row r="386">
      <c r="A386" s="40" t="n">
        <v>46225</v>
      </c>
      <c r="B386" s="41" t="n">
        <v>98100.60000000001</v>
      </c>
      <c r="C386" s="42">
        <f>B386/MAX(B$2:B386)-1</f>
        <v/>
      </c>
    </row>
    <row r="387">
      <c r="A387" s="40" t="n">
        <v>46226</v>
      </c>
      <c r="B387" s="41" t="n">
        <v>97872.42999999999</v>
      </c>
      <c r="C387" s="42">
        <f>B387/MAX(B$2:B387)-1</f>
        <v/>
      </c>
    </row>
    <row r="388">
      <c r="A388" s="40" t="n">
        <v>46227</v>
      </c>
      <c r="B388" s="41" t="n">
        <v>97524.89</v>
      </c>
      <c r="C388" s="42">
        <f>B388/MAX(B$2:B388)-1</f>
        <v/>
      </c>
    </row>
    <row r="389">
      <c r="A389" s="40" t="n">
        <v>46230</v>
      </c>
      <c r="B389" s="41" t="n">
        <v>97722.24000000001</v>
      </c>
      <c r="C389" s="42">
        <f>B389/MAX(B$2:B389)-1</f>
        <v/>
      </c>
    </row>
    <row r="390">
      <c r="A390" s="40" t="n">
        <v>46231</v>
      </c>
      <c r="B390" s="41" t="n">
        <v>96717.86</v>
      </c>
      <c r="C390" s="42">
        <f>B390/MAX(B$2:B390)-1</f>
        <v/>
      </c>
    </row>
    <row r="391">
      <c r="A391" s="40" t="n">
        <v>46232</v>
      </c>
      <c r="B391" s="41" t="n">
        <v>97279.66</v>
      </c>
      <c r="C391" s="42">
        <f>B391/MAX(B$2:B391)-1</f>
        <v/>
      </c>
    </row>
    <row r="392">
      <c r="A392" s="40" t="n">
        <v>46233</v>
      </c>
      <c r="B392" s="41" t="n">
        <v>97324.42</v>
      </c>
      <c r="C392" s="42">
        <f>B392/MAX(B$2:B392)-1</f>
        <v/>
      </c>
    </row>
    <row r="393">
      <c r="A393" s="40" t="n">
        <v>46234</v>
      </c>
      <c r="B393" s="41" t="n">
        <v>97966.92999999999</v>
      </c>
      <c r="C393" s="42">
        <f>B393/MAX(B$2:B393)-1</f>
        <v/>
      </c>
    </row>
    <row r="394">
      <c r="A394" s="40" t="n">
        <v>46237</v>
      </c>
      <c r="B394" s="41" t="n">
        <v>98345.05</v>
      </c>
      <c r="C394" s="42">
        <f>B394/MAX(B$2:B394)-1</f>
        <v/>
      </c>
    </row>
    <row r="395">
      <c r="A395" s="40" t="n">
        <v>46238</v>
      </c>
      <c r="B395" s="41" t="n">
        <v>98420.7</v>
      </c>
      <c r="C395" s="42">
        <f>B395/MAX(B$2:B395)-1</f>
        <v/>
      </c>
    </row>
    <row r="396">
      <c r="A396" s="40" t="n">
        <v>46239</v>
      </c>
      <c r="B396" s="41" t="n">
        <v>98389.53</v>
      </c>
      <c r="C396" s="42">
        <f>B396/MAX(B$2:B396)-1</f>
        <v/>
      </c>
    </row>
    <row r="397">
      <c r="A397" s="40" t="n">
        <v>46240</v>
      </c>
      <c r="B397" s="41" t="n">
        <v>97490.8</v>
      </c>
      <c r="C397" s="42">
        <f>B397/MAX(B$2:B397)-1</f>
        <v/>
      </c>
    </row>
    <row r="398">
      <c r="A398" s="40" t="n">
        <v>46241</v>
      </c>
      <c r="B398" s="41" t="n">
        <v>97393.53</v>
      </c>
      <c r="C398" s="42">
        <f>B398/MAX(B$2:B398)-1</f>
        <v/>
      </c>
    </row>
    <row r="399">
      <c r="A399" s="40" t="n">
        <v>46244</v>
      </c>
      <c r="B399" s="41" t="n">
        <v>97547.17</v>
      </c>
      <c r="C399" s="42">
        <f>B399/MAX(B$2:B399)-1</f>
        <v/>
      </c>
    </row>
    <row r="400">
      <c r="A400" s="40" t="n">
        <v>46245</v>
      </c>
      <c r="B400" s="41" t="n">
        <v>97268.77</v>
      </c>
      <c r="C400" s="42">
        <f>B400/MAX(B$2:B400)-1</f>
        <v/>
      </c>
    </row>
    <row r="401">
      <c r="A401" s="40" t="n">
        <v>46246</v>
      </c>
      <c r="B401" s="41" t="n">
        <v>96949.28999999999</v>
      </c>
      <c r="C401" s="42">
        <f>B401/MAX(B$2:B401)-1</f>
        <v/>
      </c>
    </row>
    <row r="402">
      <c r="A402" s="40" t="n">
        <v>46247</v>
      </c>
      <c r="B402" s="41" t="n">
        <v>96952.67</v>
      </c>
      <c r="C402" s="42">
        <f>B402/MAX(B$2:B402)-1</f>
        <v/>
      </c>
    </row>
    <row r="403">
      <c r="A403" s="40" t="n">
        <v>46248</v>
      </c>
      <c r="B403" s="41" t="n">
        <v>96796.17999999999</v>
      </c>
      <c r="C403" s="42">
        <f>B403/MAX(B$2:B403)-1</f>
        <v/>
      </c>
    </row>
    <row r="404">
      <c r="A404" s="40" t="n">
        <v>46251</v>
      </c>
      <c r="B404" s="41" t="n">
        <v>96595.38</v>
      </c>
      <c r="C404" s="42">
        <f>B404/MAX(B$2:B404)-1</f>
        <v/>
      </c>
    </row>
    <row r="405">
      <c r="A405" s="40" t="n">
        <v>46252</v>
      </c>
      <c r="B405" s="41" t="n">
        <v>96439</v>
      </c>
      <c r="C405" s="42">
        <f>B405/MAX(B$2:B405)-1</f>
        <v/>
      </c>
    </row>
    <row r="406">
      <c r="A406" s="40" t="n">
        <v>46253</v>
      </c>
      <c r="B406" s="41" t="n">
        <v>96409.41</v>
      </c>
      <c r="C406" s="42">
        <f>B406/MAX(B$2:B406)-1</f>
        <v/>
      </c>
    </row>
    <row r="407">
      <c r="A407" s="40" t="n">
        <v>46254</v>
      </c>
      <c r="B407" s="41" t="n">
        <v>96432.78999999999</v>
      </c>
      <c r="C407" s="42">
        <f>B407/MAX(B$2:B407)-1</f>
        <v/>
      </c>
    </row>
    <row r="408">
      <c r="A408" s="40" t="n">
        <v>46255</v>
      </c>
      <c r="B408" s="41" t="n">
        <v>96403.82000000001</v>
      </c>
      <c r="C408" s="42">
        <f>B408/MAX(B$2:B408)-1</f>
        <v/>
      </c>
    </row>
    <row r="409">
      <c r="A409" s="40" t="n">
        <v>46258</v>
      </c>
      <c r="B409" s="41" t="n">
        <v>96490.89999999999</v>
      </c>
      <c r="C409" s="42">
        <f>B409/MAX(B$2:B409)-1</f>
        <v/>
      </c>
    </row>
    <row r="410">
      <c r="A410" s="40" t="n">
        <v>46259</v>
      </c>
      <c r="B410" s="41" t="n">
        <v>96682.25</v>
      </c>
      <c r="C410" s="42">
        <f>B410/MAX(B$2:B410)-1</f>
        <v/>
      </c>
    </row>
    <row r="411">
      <c r="A411" s="40" t="n">
        <v>46260</v>
      </c>
      <c r="B411" s="41" t="n">
        <v>96416.14999999999</v>
      </c>
      <c r="C411" s="42">
        <f>B411/MAX(B$2:B411)-1</f>
        <v/>
      </c>
    </row>
    <row r="412">
      <c r="A412" s="40" t="n">
        <v>46261</v>
      </c>
      <c r="B412" s="41" t="n">
        <v>96347.03999999999</v>
      </c>
      <c r="C412" s="42">
        <f>B412/MAX(B$2:B412)-1</f>
        <v/>
      </c>
    </row>
    <row r="413">
      <c r="A413" s="40" t="n">
        <v>46262</v>
      </c>
      <c r="B413" s="41" t="n">
        <v>96354.75999999999</v>
      </c>
      <c r="C413" s="42">
        <f>B413/MAX(B$2:B413)-1</f>
        <v/>
      </c>
    </row>
    <row r="414">
      <c r="A414" s="40" t="n">
        <v>46265</v>
      </c>
      <c r="B414" s="41" t="n">
        <v>95925.99000000001</v>
      </c>
      <c r="C414" s="42">
        <f>B414/MAX(B$2:B414)-1</f>
        <v/>
      </c>
    </row>
    <row r="415">
      <c r="A415" s="40" t="n">
        <v>46266</v>
      </c>
      <c r="B415" s="41" t="n">
        <v>96180.73</v>
      </c>
      <c r="C415" s="42">
        <f>B415/MAX(B$2:B415)-1</f>
        <v/>
      </c>
    </row>
    <row r="416">
      <c r="A416" s="40" t="n">
        <v>46267</v>
      </c>
      <c r="B416" s="41" t="n">
        <v>96648.75999999999</v>
      </c>
      <c r="C416" s="42">
        <f>B416/MAX(B$2:B416)-1</f>
        <v/>
      </c>
    </row>
    <row r="417">
      <c r="A417" s="40" t="n">
        <v>46268</v>
      </c>
      <c r="B417" s="41" t="n">
        <v>96873.92999999999</v>
      </c>
      <c r="C417" s="42">
        <f>B417/MAX(B$2:B417)-1</f>
        <v/>
      </c>
    </row>
    <row r="418">
      <c r="A418" s="40" t="n">
        <v>46269</v>
      </c>
      <c r="B418" s="41" t="n">
        <v>97107.42999999999</v>
      </c>
      <c r="C418" s="42">
        <f>B418/MAX(B$2:B418)-1</f>
        <v/>
      </c>
    </row>
    <row r="419">
      <c r="A419" s="40" t="n">
        <v>46272</v>
      </c>
      <c r="B419" s="41" t="n">
        <v>96883.42999999999</v>
      </c>
      <c r="C419" s="42">
        <f>B419/MAX(B$2:B419)-1</f>
        <v/>
      </c>
    </row>
    <row r="420">
      <c r="A420" s="40" t="n">
        <v>46273</v>
      </c>
      <c r="B420" s="41" t="n">
        <v>96888.92999999999</v>
      </c>
      <c r="C420" s="42">
        <f>B420/MAX(B$2:B420)-1</f>
        <v/>
      </c>
    </row>
    <row r="421">
      <c r="A421" s="40" t="n">
        <v>46274</v>
      </c>
      <c r="B421" s="41" t="n">
        <v>97417.64999999999</v>
      </c>
      <c r="C421" s="42">
        <f>B421/MAX(B$2:B421)-1</f>
        <v/>
      </c>
    </row>
    <row r="422">
      <c r="A422" s="40" t="n">
        <v>46275</v>
      </c>
      <c r="B422" s="41" t="n">
        <v>97385.14999999999</v>
      </c>
      <c r="C422" s="42">
        <f>B422/MAX(B$2:B422)-1</f>
        <v/>
      </c>
    </row>
    <row r="423">
      <c r="A423" s="40" t="n">
        <v>46276</v>
      </c>
      <c r="B423" s="41" t="n">
        <v>97253.22</v>
      </c>
      <c r="C423" s="42">
        <f>B423/MAX(B$2:B423)-1</f>
        <v/>
      </c>
    </row>
    <row r="424">
      <c r="A424" s="40" t="n">
        <v>46280</v>
      </c>
      <c r="B424" s="41" t="n">
        <v>97273.17999999999</v>
      </c>
      <c r="C424" s="42">
        <f>B424/MAX(B$2:B424)-1</f>
        <v/>
      </c>
    </row>
    <row r="425">
      <c r="A425" s="40" t="n">
        <v>46281</v>
      </c>
      <c r="B425" s="41" t="n">
        <v>97685.38</v>
      </c>
      <c r="C425" s="42">
        <f>B425/MAX(B$2:B425)-1</f>
        <v/>
      </c>
    </row>
    <row r="426">
      <c r="A426" s="40" t="n">
        <v>46282</v>
      </c>
      <c r="B426" s="41" t="n">
        <v>97902.32000000001</v>
      </c>
      <c r="C426" s="42">
        <f>B426/MAX(B$2:B426)-1</f>
        <v/>
      </c>
    </row>
    <row r="427">
      <c r="A427" s="40" t="n">
        <v>46283</v>
      </c>
      <c r="B427" s="41" t="n">
        <v>98145.72</v>
      </c>
      <c r="C427" s="42">
        <f>B427/MAX(B$2:B427)-1</f>
        <v/>
      </c>
    </row>
    <row r="428">
      <c r="A428" s="40" t="n">
        <v>46286</v>
      </c>
      <c r="B428" s="41" t="n">
        <v>98260.72</v>
      </c>
      <c r="C428" s="42">
        <f>B428/MAX(B$2:B428)-1</f>
        <v/>
      </c>
    </row>
    <row r="429">
      <c r="A429" s="40" t="n">
        <v>46287</v>
      </c>
      <c r="B429" s="41" t="n">
        <v>97907.92</v>
      </c>
      <c r="C429" s="42">
        <f>B429/MAX(B$2:B429)-1</f>
        <v/>
      </c>
    </row>
    <row r="430">
      <c r="A430" s="40" t="n">
        <v>46288</v>
      </c>
      <c r="B430" s="41" t="n">
        <v>98891.41</v>
      </c>
      <c r="C430" s="42">
        <f>B430/MAX(B$2:B430)-1</f>
        <v/>
      </c>
    </row>
    <row r="431">
      <c r="A431" s="40" t="n">
        <v>46289</v>
      </c>
      <c r="B431" s="41" t="n">
        <v>97455.71000000001</v>
      </c>
      <c r="C431" s="42">
        <f>B431/MAX(B$2:B431)-1</f>
        <v/>
      </c>
    </row>
    <row r="432">
      <c r="A432" s="40" t="n">
        <v>46290</v>
      </c>
      <c r="B432" s="41" t="n">
        <v>97775.91</v>
      </c>
      <c r="C432" s="42">
        <f>B432/MAX(B$2:B432)-1</f>
        <v/>
      </c>
    </row>
    <row r="433">
      <c r="A433" s="40" t="n">
        <v>46293</v>
      </c>
      <c r="B433" s="41" t="n">
        <v>96805.41</v>
      </c>
      <c r="C433" s="42">
        <f>B433/MAX(B$2:B433)-1</f>
        <v/>
      </c>
    </row>
    <row r="434">
      <c r="A434" s="40" t="n">
        <v>46294</v>
      </c>
      <c r="B434" s="41" t="n">
        <v>96487.50999999999</v>
      </c>
      <c r="C434" s="42">
        <f>B434/MAX(B$2:B434)-1</f>
        <v/>
      </c>
    </row>
    <row r="435">
      <c r="A435" s="40" t="n">
        <v>46295</v>
      </c>
      <c r="B435" s="41" t="n">
        <v>95801.66</v>
      </c>
      <c r="C435" s="42">
        <f>B435/MAX(B$2:B435)-1</f>
        <v/>
      </c>
    </row>
    <row r="436">
      <c r="A436" s="40" t="n">
        <v>46296</v>
      </c>
      <c r="B436" s="41" t="n">
        <v>94173.66</v>
      </c>
      <c r="C436" s="42">
        <f>B436/MAX(B$2:B436)-1</f>
        <v/>
      </c>
    </row>
    <row r="437">
      <c r="A437" s="40" t="n">
        <v>46300</v>
      </c>
      <c r="B437" s="41" t="n">
        <v>94704.86</v>
      </c>
      <c r="C437" s="42">
        <f>B437/MAX(B$2:B437)-1</f>
        <v/>
      </c>
    </row>
    <row r="438">
      <c r="A438" s="40" t="n">
        <v>46301</v>
      </c>
      <c r="B438" s="41" t="n">
        <v>94966.50999999999</v>
      </c>
      <c r="C438" s="42">
        <f>B438/MAX(B$2:B438)-1</f>
        <v/>
      </c>
    </row>
    <row r="439">
      <c r="A439" s="40" t="n">
        <v>46302</v>
      </c>
      <c r="B439" s="41" t="n">
        <v>93972.11</v>
      </c>
      <c r="C439" s="42">
        <f>B439/MAX(B$2:B439)-1</f>
        <v/>
      </c>
    </row>
    <row r="440">
      <c r="A440" s="40" t="n">
        <v>46303</v>
      </c>
      <c r="B440" s="41" t="n">
        <v>92697.55</v>
      </c>
      <c r="C440" s="42">
        <f>B440/MAX(B$2:B440)-1</f>
        <v/>
      </c>
    </row>
    <row r="441">
      <c r="A441" s="40" t="n">
        <v>46304</v>
      </c>
      <c r="B441" s="41" t="n">
        <v>93631.89999999999</v>
      </c>
      <c r="C441" s="42">
        <f>B441/MAX(B$2:B441)-1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A78D6"/>
    <outlinePr summaryBelow="1" summaryRight="1"/>
    <pageSetUpPr/>
  </sheetPr>
  <dimension ref="A1:C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</cols>
  <sheetData>
    <row r="1" ht="22" customHeight="1">
      <c r="A1" s="15" t="inlineStr">
        <is>
          <t>Date</t>
        </is>
      </c>
      <c r="B1" s="15" t="inlineStr">
        <is>
          <t>Strategy Equity</t>
        </is>
      </c>
      <c r="C1" s="15" t="inlineStr">
        <is>
          <t>Benchmark Equity</t>
        </is>
      </c>
    </row>
    <row r="2">
      <c r="A2" s="40" t="n">
        <v>45658</v>
      </c>
      <c r="B2" s="41" t="n">
        <v>100000</v>
      </c>
      <c r="C2" s="41" t="n">
        <v>100000</v>
      </c>
    </row>
    <row r="3">
      <c r="A3" s="40" t="n">
        <v>45659</v>
      </c>
      <c r="B3" s="41" t="n">
        <v>100000</v>
      </c>
      <c r="C3" s="41" t="n">
        <v>101619.0437779427</v>
      </c>
    </row>
    <row r="4">
      <c r="A4" s="40" t="n">
        <v>45660</v>
      </c>
      <c r="B4" s="41" t="n">
        <v>100000</v>
      </c>
      <c r="C4" s="41" t="n">
        <v>101061.7897372275</v>
      </c>
    </row>
    <row r="5">
      <c r="A5" s="40" t="n">
        <v>45663</v>
      </c>
      <c r="B5" s="41" t="n">
        <v>100000</v>
      </c>
      <c r="C5" s="41" t="n">
        <v>99582.06808732722</v>
      </c>
    </row>
    <row r="6">
      <c r="A6" s="40" t="n">
        <v>45664</v>
      </c>
      <c r="B6" s="41" t="n">
        <v>100000</v>
      </c>
      <c r="C6" s="41" t="n">
        <v>99838.09906935116</v>
      </c>
    </row>
    <row r="7">
      <c r="A7" s="40" t="n">
        <v>45665</v>
      </c>
      <c r="B7" s="41" t="n">
        <v>100000</v>
      </c>
      <c r="C7" s="41" t="n">
        <v>99747.7378969862</v>
      </c>
    </row>
    <row r="8">
      <c r="A8" s="40" t="n">
        <v>45666</v>
      </c>
      <c r="B8" s="41" t="n">
        <v>100000</v>
      </c>
      <c r="C8" s="41" t="n">
        <v>99081.28977934018</v>
      </c>
    </row>
    <row r="9">
      <c r="A9" s="40" t="n">
        <v>45667</v>
      </c>
      <c r="B9" s="41" t="n">
        <v>100000</v>
      </c>
      <c r="C9" s="41" t="n">
        <v>98731.12874594114</v>
      </c>
    </row>
    <row r="10">
      <c r="A10" s="40" t="n">
        <v>45670</v>
      </c>
      <c r="B10" s="41" t="n">
        <v>100000</v>
      </c>
      <c r="C10" s="41" t="n">
        <v>97292.81880321316</v>
      </c>
    </row>
    <row r="11">
      <c r="A11" s="40" t="n">
        <v>45671</v>
      </c>
      <c r="B11" s="41" t="n">
        <v>100000</v>
      </c>
      <c r="C11" s="41" t="n">
        <v>97616.6321549956</v>
      </c>
    </row>
    <row r="12">
      <c r="A12" s="40" t="n">
        <v>45672</v>
      </c>
      <c r="B12" s="41" t="n">
        <v>100000</v>
      </c>
      <c r="C12" s="41" t="n">
        <v>97737.1098879873</v>
      </c>
    </row>
    <row r="13">
      <c r="A13" s="40" t="n">
        <v>45673</v>
      </c>
      <c r="B13" s="41" t="n">
        <v>100000</v>
      </c>
      <c r="C13" s="41" t="n">
        <v>98166.34843769048</v>
      </c>
    </row>
    <row r="14">
      <c r="A14" s="40" t="n">
        <v>45674</v>
      </c>
      <c r="B14" s="41" t="n">
        <v>100000</v>
      </c>
      <c r="C14" s="41" t="n">
        <v>97808.64964627118</v>
      </c>
    </row>
    <row r="15">
      <c r="A15" s="40" t="n">
        <v>45677</v>
      </c>
      <c r="B15" s="41" t="n">
        <v>100000</v>
      </c>
      <c r="C15" s="41" t="n">
        <v>98380.96771254207</v>
      </c>
    </row>
    <row r="16">
      <c r="A16" s="40" t="n">
        <v>45678</v>
      </c>
      <c r="B16" s="41" t="n">
        <v>100000</v>
      </c>
      <c r="C16" s="41" t="n">
        <v>97108.32757947307</v>
      </c>
    </row>
    <row r="17">
      <c r="A17" s="40" t="n">
        <v>45679</v>
      </c>
      <c r="B17" s="41" t="n">
        <v>100000</v>
      </c>
      <c r="C17" s="41" t="n">
        <v>97462.25749188226</v>
      </c>
    </row>
    <row r="18">
      <c r="A18" s="40" t="n">
        <v>45680</v>
      </c>
      <c r="B18" s="41" t="n">
        <v>100000</v>
      </c>
      <c r="C18" s="41" t="n">
        <v>97710.76220637071</v>
      </c>
    </row>
    <row r="19">
      <c r="A19" s="40" t="n">
        <v>45681</v>
      </c>
      <c r="B19" s="41" t="n">
        <v>100000</v>
      </c>
      <c r="C19" s="41" t="n">
        <v>97213.75277739381</v>
      </c>
    </row>
    <row r="20">
      <c r="A20" s="40" t="n">
        <v>45684</v>
      </c>
      <c r="B20" s="41" t="n">
        <v>100000</v>
      </c>
      <c r="C20" s="41" t="n">
        <v>96272.45226364274</v>
      </c>
    </row>
    <row r="21">
      <c r="A21" s="40" t="n">
        <v>45685</v>
      </c>
      <c r="B21" s="41" t="n">
        <v>100000</v>
      </c>
      <c r="C21" s="41" t="n">
        <v>96889.93942561134</v>
      </c>
    </row>
    <row r="22">
      <c r="A22" s="40" t="n">
        <v>45686</v>
      </c>
      <c r="B22" s="41" t="n">
        <v>100000</v>
      </c>
      <c r="C22" s="41" t="n">
        <v>97661.81274117809</v>
      </c>
    </row>
    <row r="23">
      <c r="A23" s="40" t="n">
        <v>45687</v>
      </c>
      <c r="B23" s="41" t="n">
        <v>100000</v>
      </c>
      <c r="C23" s="41" t="n">
        <v>97978.08833494029</v>
      </c>
    </row>
    <row r="24">
      <c r="A24" s="40" t="n">
        <v>45688</v>
      </c>
      <c r="B24" s="41" t="n">
        <v>100000</v>
      </c>
      <c r="C24" s="41" t="n">
        <v>99024.81404661208</v>
      </c>
    </row>
    <row r="25">
      <c r="A25" s="40" t="n">
        <v>45689</v>
      </c>
      <c r="B25" s="41" t="n">
        <v>100000</v>
      </c>
      <c r="C25" s="41" t="n">
        <v>98697.24330630426</v>
      </c>
    </row>
    <row r="26">
      <c r="A26" s="40" t="n">
        <v>45691</v>
      </c>
      <c r="B26" s="41" t="n">
        <v>100000</v>
      </c>
      <c r="C26" s="41" t="n">
        <v>98448.73859181581</v>
      </c>
    </row>
    <row r="27">
      <c r="A27" s="40" t="n">
        <v>45692</v>
      </c>
      <c r="B27" s="41" t="n">
        <v>100000</v>
      </c>
      <c r="C27" s="41" t="n">
        <v>99796.67587169402</v>
      </c>
    </row>
    <row r="28">
      <c r="A28" s="40" t="n">
        <v>45693</v>
      </c>
      <c r="B28" s="41" t="n">
        <v>100000</v>
      </c>
      <c r="C28" s="41" t="n">
        <v>99871.98450898803</v>
      </c>
    </row>
    <row r="29">
      <c r="A29" s="40" t="n">
        <v>45694</v>
      </c>
      <c r="B29" s="41" t="n">
        <v>100000</v>
      </c>
      <c r="C29" s="41" t="n">
        <v>99540.64488967009</v>
      </c>
    </row>
    <row r="30">
      <c r="A30" s="40" t="n">
        <v>45695</v>
      </c>
      <c r="B30" s="41" t="n">
        <v>100000</v>
      </c>
      <c r="C30" s="41" t="n">
        <v>99307.20420073738</v>
      </c>
    </row>
    <row r="31">
      <c r="A31" s="40" t="n">
        <v>45698</v>
      </c>
      <c r="B31" s="41" t="n">
        <v>100000</v>
      </c>
      <c r="C31" s="41" t="n">
        <v>98610.63952246465</v>
      </c>
    </row>
    <row r="32">
      <c r="A32" s="40" t="n">
        <v>45699</v>
      </c>
      <c r="B32" s="41" t="n">
        <v>100000</v>
      </c>
      <c r="C32" s="41" t="n">
        <v>97349.29453594126</v>
      </c>
    </row>
    <row r="33">
      <c r="A33" s="40" t="n">
        <v>45700</v>
      </c>
      <c r="B33" s="41" t="n">
        <v>100000</v>
      </c>
      <c r="C33" s="41" t="n">
        <v>97243.86933802052</v>
      </c>
    </row>
    <row r="34">
      <c r="A34" s="40" t="n">
        <v>45701</v>
      </c>
      <c r="B34" s="41" t="n">
        <v>100000</v>
      </c>
      <c r="C34" s="41" t="n">
        <v>97206.22650985832</v>
      </c>
    </row>
    <row r="35">
      <c r="A35" s="40" t="n">
        <v>45702</v>
      </c>
      <c r="B35" s="41" t="n">
        <v>100000</v>
      </c>
      <c r="C35" s="41" t="n">
        <v>96746.87139952841</v>
      </c>
    </row>
    <row r="36">
      <c r="A36" s="40" t="n">
        <v>45705</v>
      </c>
      <c r="B36" s="41" t="n">
        <v>100000</v>
      </c>
      <c r="C36" s="41" t="n">
        <v>96807.10452078187</v>
      </c>
    </row>
    <row r="37">
      <c r="A37" s="40" t="n">
        <v>45706</v>
      </c>
      <c r="B37" s="41" t="n">
        <v>100000</v>
      </c>
      <c r="C37" s="41" t="n">
        <v>96705.44820187127</v>
      </c>
    </row>
    <row r="38">
      <c r="A38" s="40" t="n">
        <v>45707</v>
      </c>
      <c r="B38" s="41" t="n">
        <v>100000</v>
      </c>
      <c r="C38" s="41" t="n">
        <v>96724.28110643716</v>
      </c>
    </row>
    <row r="39">
      <c r="A39" s="40" t="n">
        <v>45708</v>
      </c>
      <c r="B39" s="41" t="n">
        <v>100000</v>
      </c>
      <c r="C39" s="41" t="n">
        <v>96709.21708088141</v>
      </c>
    </row>
    <row r="40">
      <c r="A40" s="40" t="n">
        <v>45709</v>
      </c>
      <c r="B40" s="41" t="n">
        <v>100000</v>
      </c>
      <c r="C40" s="41" t="n">
        <v>96212.20765190449</v>
      </c>
    </row>
    <row r="41">
      <c r="A41" s="40" t="n">
        <v>45712</v>
      </c>
      <c r="B41" s="41" t="n">
        <v>100000</v>
      </c>
      <c r="C41" s="41" t="n">
        <v>95210.6625264152</v>
      </c>
    </row>
    <row r="42">
      <c r="A42" s="40" t="n">
        <v>45713</v>
      </c>
      <c r="B42" s="41" t="n">
        <v>100000</v>
      </c>
      <c r="C42" s="41" t="n">
        <v>95165.4819402327</v>
      </c>
    </row>
    <row r="43">
      <c r="A43" s="40" t="n">
        <v>45715</v>
      </c>
      <c r="B43" s="41" t="n">
        <v>100000</v>
      </c>
      <c r="C43" s="41" t="n">
        <v>95093.94218194885</v>
      </c>
    </row>
    <row r="44">
      <c r="A44" s="40" t="n">
        <v>45716</v>
      </c>
      <c r="B44" s="41" t="n">
        <v>100000</v>
      </c>
      <c r="C44" s="41" t="n">
        <v>93546.44390753239</v>
      </c>
    </row>
    <row r="45">
      <c r="A45" s="40" t="n">
        <v>45719</v>
      </c>
      <c r="B45" s="41" t="n">
        <v>100000</v>
      </c>
      <c r="C45" s="41" t="n">
        <v>93395.83812342917</v>
      </c>
    </row>
    <row r="46">
      <c r="A46" s="40" t="n">
        <v>45720</v>
      </c>
      <c r="B46" s="41" t="n">
        <v>100000</v>
      </c>
      <c r="C46" s="41" t="n">
        <v>93184.98772758772</v>
      </c>
    </row>
    <row r="47">
      <c r="A47" s="40" t="n">
        <v>45721</v>
      </c>
      <c r="B47" s="41" t="n">
        <v>100000</v>
      </c>
      <c r="C47" s="41" t="n">
        <v>94310.77946507887</v>
      </c>
    </row>
    <row r="48">
      <c r="A48" s="40" t="n">
        <v>45722</v>
      </c>
      <c r="B48" s="41" t="n">
        <v>100000</v>
      </c>
      <c r="C48" s="41" t="n">
        <v>95165.4819402327</v>
      </c>
    </row>
    <row r="49">
      <c r="A49" s="40" t="n">
        <v>45723</v>
      </c>
      <c r="B49" s="41" t="n">
        <v>100000</v>
      </c>
      <c r="C49" s="41" t="n">
        <v>95199.36737986957</v>
      </c>
    </row>
    <row r="50">
      <c r="A50" s="40" t="n">
        <v>45726</v>
      </c>
      <c r="B50" s="41" t="n">
        <v>100000</v>
      </c>
      <c r="C50" s="41" t="n">
        <v>94788.96173473228</v>
      </c>
    </row>
    <row r="51">
      <c r="A51" s="40" t="n">
        <v>45727</v>
      </c>
      <c r="B51" s="41" t="n">
        <v>100000</v>
      </c>
      <c r="C51" s="41" t="n">
        <v>94913.21409197651</v>
      </c>
    </row>
    <row r="52">
      <c r="A52" s="40" t="n">
        <v>45728</v>
      </c>
      <c r="B52" s="41" t="n">
        <v>100000</v>
      </c>
      <c r="C52" s="41" t="n">
        <v>94785.19860096453</v>
      </c>
    </row>
    <row r="53">
      <c r="A53" s="40" t="n">
        <v>45729</v>
      </c>
      <c r="B53" s="41" t="n">
        <v>100000</v>
      </c>
      <c r="C53" s="41" t="n">
        <v>94529.16187369819</v>
      </c>
    </row>
    <row r="54">
      <c r="A54" s="40" t="n">
        <v>45733</v>
      </c>
      <c r="B54" s="41" t="n">
        <v>100000</v>
      </c>
      <c r="C54" s="41" t="n">
        <v>94950.86266538111</v>
      </c>
    </row>
    <row r="55">
      <c r="A55" s="40" t="n">
        <v>45734</v>
      </c>
      <c r="B55" s="41" t="n">
        <v>100000</v>
      </c>
      <c r="C55" s="41" t="n">
        <v>94950.86266538111</v>
      </c>
    </row>
    <row r="56">
      <c r="A56" s="40" t="n">
        <v>45735</v>
      </c>
      <c r="B56" s="41" t="n">
        <v>100000</v>
      </c>
      <c r="C56" s="41" t="n">
        <v>96652.7413481533</v>
      </c>
    </row>
    <row r="57">
      <c r="A57" s="40" t="n">
        <v>45736</v>
      </c>
      <c r="B57" s="41" t="n">
        <v>100000</v>
      </c>
      <c r="C57" s="41" t="n">
        <v>97639.22244808685</v>
      </c>
    </row>
    <row r="58">
      <c r="A58" s="40" t="n">
        <v>45737</v>
      </c>
      <c r="B58" s="41" t="n">
        <v>100000</v>
      </c>
      <c r="C58" s="41" t="n">
        <v>98305.65907524808</v>
      </c>
    </row>
    <row r="59">
      <c r="A59" s="40" t="n">
        <v>45740</v>
      </c>
      <c r="B59" s="41" t="n">
        <v>100000</v>
      </c>
      <c r="C59" s="41" t="n">
        <v>99740.20013896591</v>
      </c>
    </row>
    <row r="60">
      <c r="A60" s="40" t="n">
        <v>45741</v>
      </c>
      <c r="B60" s="41" t="n">
        <v>100000</v>
      </c>
      <c r="C60" s="41" t="n">
        <v>99676.19813870233</v>
      </c>
    </row>
    <row r="61">
      <c r="A61" s="40" t="n">
        <v>45742</v>
      </c>
      <c r="B61" s="41" t="n">
        <v>100000</v>
      </c>
      <c r="C61" s="41" t="n">
        <v>98987.15972796507</v>
      </c>
    </row>
    <row r="62">
      <c r="A62" s="40" t="n">
        <v>45743</v>
      </c>
      <c r="B62" s="41" t="n">
        <v>100000</v>
      </c>
      <c r="C62" s="41" t="n">
        <v>99299.67793320191</v>
      </c>
    </row>
    <row r="63">
      <c r="A63" s="40" t="n">
        <v>45744</v>
      </c>
      <c r="B63" s="41" t="n">
        <v>100000</v>
      </c>
      <c r="C63" s="41" t="n">
        <v>99103.88007243142</v>
      </c>
    </row>
    <row r="64">
      <c r="A64" s="40" t="n">
        <v>45748</v>
      </c>
      <c r="B64" s="41" t="n">
        <v>100000</v>
      </c>
      <c r="C64" s="41" t="n">
        <v>97744.64764600758</v>
      </c>
    </row>
    <row r="65">
      <c r="A65" s="40" t="n">
        <v>45749</v>
      </c>
      <c r="B65" s="41" t="n">
        <v>100000</v>
      </c>
      <c r="C65" s="41" t="n">
        <v>98512.7520825642</v>
      </c>
    </row>
    <row r="66">
      <c r="A66" s="40" t="n">
        <v>45750</v>
      </c>
      <c r="B66" s="41" t="n">
        <v>100000</v>
      </c>
      <c r="C66" s="41" t="n">
        <v>98068.44950730524</v>
      </c>
    </row>
    <row r="67">
      <c r="A67" s="40" t="n">
        <v>45751</v>
      </c>
      <c r="B67" s="41" t="n">
        <v>100000</v>
      </c>
      <c r="C67" s="41" t="n">
        <v>96825.93742534776</v>
      </c>
    </row>
    <row r="68">
      <c r="A68" s="40" t="n">
        <v>45754</v>
      </c>
      <c r="B68" s="41" t="n">
        <v>100000</v>
      </c>
      <c r="C68" s="41" t="n">
        <v>93791.1854882531</v>
      </c>
    </row>
    <row r="69">
      <c r="A69" s="40" t="n">
        <v>45755</v>
      </c>
      <c r="B69" s="41" t="n">
        <v>100000</v>
      </c>
      <c r="C69" s="41" t="n">
        <v>95154.18679368708</v>
      </c>
    </row>
    <row r="70">
      <c r="A70" s="40" t="n">
        <v>45756</v>
      </c>
      <c r="B70" s="41" t="n">
        <v>100000</v>
      </c>
      <c r="C70" s="41" t="n">
        <v>94517.86672715258</v>
      </c>
    </row>
    <row r="71">
      <c r="A71" s="40" t="n">
        <v>45758</v>
      </c>
      <c r="B71" s="41" t="n">
        <v>100000</v>
      </c>
      <c r="C71" s="41" t="n">
        <v>96377.87746156346</v>
      </c>
    </row>
    <row r="72">
      <c r="A72" s="40" t="n">
        <v>45762</v>
      </c>
      <c r="B72" s="41" t="n">
        <v>100000</v>
      </c>
      <c r="C72" s="41" t="n">
        <v>98222.82417041859</v>
      </c>
    </row>
    <row r="73">
      <c r="A73" s="40" t="n">
        <v>45763</v>
      </c>
      <c r="B73" s="41" t="n">
        <v>100000</v>
      </c>
      <c r="C73" s="41" t="n">
        <v>98614.40840147478</v>
      </c>
    </row>
    <row r="74">
      <c r="A74" s="40" t="n">
        <v>45764</v>
      </c>
      <c r="B74" s="41" t="n">
        <v>100000</v>
      </c>
      <c r="C74" s="41" t="n">
        <v>100357.6987914193</v>
      </c>
    </row>
    <row r="75">
      <c r="A75" s="40" t="n">
        <v>45768</v>
      </c>
      <c r="B75" s="41" t="n">
        <v>100000</v>
      </c>
      <c r="C75" s="41" t="n">
        <v>101547.5040196588</v>
      </c>
    </row>
    <row r="76">
      <c r="A76" s="40" t="n">
        <v>45769</v>
      </c>
      <c r="B76" s="41" t="n">
        <v>100000</v>
      </c>
      <c r="C76" s="41" t="n">
        <v>101679.2768991962</v>
      </c>
    </row>
    <row r="77">
      <c r="A77" s="40" t="n">
        <v>45770</v>
      </c>
      <c r="B77" s="41" t="n">
        <v>100000</v>
      </c>
      <c r="C77" s="41" t="n">
        <v>102345.7250168422</v>
      </c>
    </row>
    <row r="78">
      <c r="A78" s="40" t="n">
        <v>45771</v>
      </c>
      <c r="B78" s="41" t="n">
        <v>100000</v>
      </c>
      <c r="C78" s="41" t="n">
        <v>102018.1542765344</v>
      </c>
    </row>
    <row r="79">
      <c r="A79" s="40" t="n">
        <v>45772</v>
      </c>
      <c r="B79" s="41" t="n">
        <v>100000</v>
      </c>
      <c r="C79" s="41" t="n">
        <v>101144.6246420571</v>
      </c>
    </row>
    <row r="80">
      <c r="A80" s="40" t="n">
        <v>45775</v>
      </c>
      <c r="B80" s="41" t="n">
        <v>100000</v>
      </c>
      <c r="C80" s="41" t="n">
        <v>102375.8415774689</v>
      </c>
    </row>
    <row r="81">
      <c r="A81" s="40" t="n">
        <v>45776</v>
      </c>
      <c r="B81" s="41" t="n">
        <v>100000</v>
      </c>
      <c r="C81" s="41" t="n">
        <v>102379.610456479</v>
      </c>
    </row>
    <row r="82">
      <c r="A82" s="40" t="n">
        <v>45777</v>
      </c>
      <c r="B82" s="41" t="n">
        <v>100000</v>
      </c>
      <c r="C82" s="41" t="n">
        <v>102409.7270171058</v>
      </c>
    </row>
    <row r="83">
      <c r="A83" s="40" t="n">
        <v>45779</v>
      </c>
      <c r="B83" s="41" t="n">
        <v>100000</v>
      </c>
      <c r="C83" s="41" t="n">
        <v>102326.8921122763</v>
      </c>
    </row>
    <row r="84">
      <c r="A84" s="40" t="n">
        <v>45782</v>
      </c>
      <c r="B84" s="41" t="n">
        <v>100000</v>
      </c>
      <c r="C84" s="41" t="n">
        <v>103313.3847026946</v>
      </c>
    </row>
    <row r="85">
      <c r="A85" s="40" t="n">
        <v>45783</v>
      </c>
      <c r="B85" s="41" t="n">
        <v>100000</v>
      </c>
      <c r="C85" s="41" t="n">
        <v>102639.4103175131</v>
      </c>
    </row>
    <row r="86">
      <c r="A86" s="40" t="n">
        <v>45784</v>
      </c>
      <c r="B86" s="41" t="n">
        <v>100000</v>
      </c>
      <c r="C86" s="41" t="n">
        <v>102710.950075797</v>
      </c>
    </row>
    <row r="87">
      <c r="A87" s="40" t="n">
        <v>45785</v>
      </c>
      <c r="B87" s="41" t="n">
        <v>100000</v>
      </c>
      <c r="C87" s="41" t="n">
        <v>102052.0397161712</v>
      </c>
    </row>
    <row r="88">
      <c r="A88" s="40" t="n">
        <v>45786</v>
      </c>
      <c r="B88" s="41" t="n">
        <v>100000</v>
      </c>
      <c r="C88" s="41" t="n">
        <v>101091.9062978543</v>
      </c>
    </row>
    <row r="89">
      <c r="A89" s="40" t="n">
        <v>45789</v>
      </c>
      <c r="B89" s="41" t="n">
        <v>100000</v>
      </c>
      <c r="C89" s="41" t="n">
        <v>105026.5470415277</v>
      </c>
    </row>
    <row r="90">
      <c r="A90" s="40" t="n">
        <v>45790</v>
      </c>
      <c r="B90" s="41" t="n">
        <v>100000</v>
      </c>
      <c r="C90" s="41" t="n">
        <v>103787.7923480955</v>
      </c>
    </row>
    <row r="91">
      <c r="A91" s="40" t="n">
        <v>45791</v>
      </c>
      <c r="B91" s="41" t="n">
        <v>100000</v>
      </c>
      <c r="C91" s="41" t="n">
        <v>104134.1959929692</v>
      </c>
    </row>
    <row r="92">
      <c r="A92" s="40" t="n">
        <v>45792</v>
      </c>
      <c r="B92" s="41" t="n">
        <v>100000</v>
      </c>
      <c r="C92" s="41" t="n">
        <v>105489.6710308677</v>
      </c>
    </row>
    <row r="93">
      <c r="A93" s="40" t="n">
        <v>45793</v>
      </c>
      <c r="B93" s="41" t="n">
        <v>100000</v>
      </c>
      <c r="C93" s="41" t="n">
        <v>105504.7235659387</v>
      </c>
    </row>
    <row r="94">
      <c r="A94" s="40" t="n">
        <v>45796</v>
      </c>
      <c r="B94" s="41" t="n">
        <v>100000</v>
      </c>
      <c r="C94" s="41" t="n">
        <v>105128.2033604382</v>
      </c>
    </row>
    <row r="95">
      <c r="A95" s="40" t="n">
        <v>45797</v>
      </c>
      <c r="B95" s="41" t="n">
        <v>100000</v>
      </c>
      <c r="C95" s="41" t="n">
        <v>104254.6852164457</v>
      </c>
    </row>
    <row r="96">
      <c r="A96" s="40" t="n">
        <v>45798</v>
      </c>
      <c r="B96" s="41" t="n">
        <v>100000</v>
      </c>
      <c r="C96" s="41" t="n">
        <v>104503.1784404494</v>
      </c>
    </row>
    <row r="97">
      <c r="A97" s="40" t="n">
        <v>45799</v>
      </c>
      <c r="B97" s="41" t="n">
        <v>100000</v>
      </c>
      <c r="C97" s="41" t="n">
        <v>103885.6912784808</v>
      </c>
    </row>
    <row r="98">
      <c r="A98" s="40" t="n">
        <v>45800</v>
      </c>
      <c r="B98" s="41" t="n">
        <v>100000</v>
      </c>
      <c r="C98" s="41" t="n">
        <v>104811.927766676</v>
      </c>
    </row>
    <row r="99">
      <c r="A99" s="40" t="n">
        <v>45803</v>
      </c>
      <c r="B99" s="41" t="n">
        <v>100000</v>
      </c>
      <c r="C99" s="41" t="n">
        <v>105384.245832947</v>
      </c>
    </row>
    <row r="100">
      <c r="A100" s="40" t="n">
        <v>45804</v>
      </c>
      <c r="B100" s="41" t="n">
        <v>100000</v>
      </c>
      <c r="C100" s="41" t="n">
        <v>104766.7471804936</v>
      </c>
    </row>
    <row r="101">
      <c r="A101" s="40" t="n">
        <v>45805</v>
      </c>
      <c r="B101" s="41" t="n">
        <v>100000</v>
      </c>
      <c r="C101" s="41" t="n">
        <v>104555.8967846521</v>
      </c>
    </row>
    <row r="102">
      <c r="A102" s="40" t="n">
        <v>45806</v>
      </c>
      <c r="B102" s="41" t="n">
        <v>100000</v>
      </c>
      <c r="C102" s="41" t="n">
        <v>104875.9412574244</v>
      </c>
    </row>
    <row r="103">
      <c r="A103" s="40" t="n">
        <v>45807</v>
      </c>
      <c r="B103" s="41" t="n">
        <v>100000</v>
      </c>
      <c r="C103" s="41" t="n">
        <v>104661.3219825728</v>
      </c>
    </row>
    <row r="104">
      <c r="A104" s="40" t="n">
        <v>45810</v>
      </c>
      <c r="B104" s="41" t="n">
        <v>100000</v>
      </c>
      <c r="C104" s="41" t="n">
        <v>104522.0113450152</v>
      </c>
    </row>
    <row r="105">
      <c r="A105" s="40" t="n">
        <v>45811</v>
      </c>
      <c r="B105" s="41" t="n">
        <v>100000</v>
      </c>
      <c r="C105" s="41" t="n">
        <v>103832.972934278</v>
      </c>
    </row>
    <row r="106">
      <c r="A106" s="40" t="n">
        <v>45812</v>
      </c>
      <c r="B106" s="41" t="n">
        <v>100000</v>
      </c>
      <c r="C106" s="41" t="n">
        <v>104092.7727953121</v>
      </c>
    </row>
    <row r="107">
      <c r="A107" s="40" t="n">
        <v>45813</v>
      </c>
      <c r="B107" s="41" t="n">
        <v>100000</v>
      </c>
      <c r="C107" s="41" t="n">
        <v>104691.4385431996</v>
      </c>
    </row>
    <row r="108">
      <c r="A108" s="40" t="n">
        <v>45814</v>
      </c>
      <c r="B108" s="41" t="n">
        <v>100000</v>
      </c>
      <c r="C108" s="41" t="n">
        <v>105613.9176428695</v>
      </c>
    </row>
    <row r="109">
      <c r="A109" s="40" t="n">
        <v>45817</v>
      </c>
      <c r="B109" s="41" t="n">
        <v>100000</v>
      </c>
      <c r="C109" s="41" t="n">
        <v>105933.9621156419</v>
      </c>
    </row>
    <row r="110">
      <c r="A110" s="40" t="n">
        <v>45818</v>
      </c>
      <c r="B110" s="41" t="n">
        <v>100000</v>
      </c>
      <c r="C110" s="41" t="n">
        <v>105949.0261411976</v>
      </c>
    </row>
    <row r="111">
      <c r="A111" s="40" t="n">
        <v>45819</v>
      </c>
      <c r="B111" s="41" t="n">
        <v>100000</v>
      </c>
      <c r="C111" s="41" t="n">
        <v>106129.7484859276</v>
      </c>
    </row>
    <row r="112">
      <c r="A112" s="40" t="n">
        <v>45820</v>
      </c>
      <c r="B112" s="41" t="n">
        <v>100000</v>
      </c>
      <c r="C112" s="41" t="n">
        <v>105030.3159205378</v>
      </c>
    </row>
    <row r="113">
      <c r="A113" s="40" t="n">
        <v>45821</v>
      </c>
      <c r="B113" s="41" t="n">
        <v>100000</v>
      </c>
      <c r="C113" s="41" t="n">
        <v>104333.751242265</v>
      </c>
    </row>
    <row r="114">
      <c r="A114" s="40" t="n">
        <v>45824</v>
      </c>
      <c r="B114" s="41" t="n">
        <v>100000</v>
      </c>
      <c r="C114" s="41" t="n">
        <v>105312.7060746631</v>
      </c>
    </row>
    <row r="115">
      <c r="A115" s="40" t="n">
        <v>45825</v>
      </c>
      <c r="B115" s="41" t="n">
        <v>100000</v>
      </c>
      <c r="C115" s="41" t="n">
        <v>104894.7626715056</v>
      </c>
    </row>
    <row r="116">
      <c r="A116" s="40" t="n">
        <v>45826</v>
      </c>
      <c r="B116" s="41" t="n">
        <v>100000</v>
      </c>
      <c r="C116" s="41" t="n">
        <v>104762.9783014834</v>
      </c>
    </row>
    <row r="117">
      <c r="A117" s="40" t="n">
        <v>45827</v>
      </c>
      <c r="B117" s="41" t="n">
        <v>100000</v>
      </c>
      <c r="C117" s="41" t="n">
        <v>104638.7316894816</v>
      </c>
    </row>
    <row r="118">
      <c r="A118" s="40" t="n">
        <v>45828</v>
      </c>
      <c r="B118" s="41" t="n">
        <v>100000</v>
      </c>
      <c r="C118" s="41" t="n">
        <v>105990.4378483699</v>
      </c>
    </row>
    <row r="119">
      <c r="A119" s="40" t="n">
        <v>45831</v>
      </c>
      <c r="B119" s="41" t="n">
        <v>100000</v>
      </c>
      <c r="C119" s="41" t="n">
        <v>105749.459401417</v>
      </c>
    </row>
    <row r="120">
      <c r="A120" s="40" t="n">
        <v>45832</v>
      </c>
      <c r="B120" s="41" t="n">
        <v>100000</v>
      </c>
      <c r="C120" s="41" t="n">
        <v>105964.0786762686</v>
      </c>
    </row>
    <row r="121">
      <c r="A121" s="40" t="n">
        <v>45833</v>
      </c>
      <c r="B121" s="41" t="n">
        <v>100000</v>
      </c>
      <c r="C121" s="41" t="n">
        <v>106709.5928197339</v>
      </c>
    </row>
    <row r="122">
      <c r="A122" s="40" t="n">
        <v>45834</v>
      </c>
      <c r="B122" s="41" t="n">
        <v>100000</v>
      </c>
      <c r="C122" s="41" t="n">
        <v>107831.6271686997</v>
      </c>
    </row>
    <row r="123">
      <c r="A123" s="40" t="n">
        <v>45835</v>
      </c>
      <c r="B123" s="41" t="n">
        <v>100000</v>
      </c>
      <c r="C123" s="41" t="n">
        <v>108422.755158567</v>
      </c>
    </row>
    <row r="124">
      <c r="A124" s="40" t="n">
        <v>45838</v>
      </c>
      <c r="B124" s="41" t="n">
        <v>100000</v>
      </c>
      <c r="C124" s="41" t="n">
        <v>107876.8077548822</v>
      </c>
    </row>
    <row r="125">
      <c r="A125" s="40" t="n">
        <v>45839</v>
      </c>
      <c r="B125" s="41" t="n">
        <v>100000</v>
      </c>
      <c r="C125" s="41" t="n">
        <v>108001.0543668841</v>
      </c>
    </row>
    <row r="126">
      <c r="A126" s="40" t="n">
        <v>45840</v>
      </c>
      <c r="B126" s="41" t="n">
        <v>100000</v>
      </c>
      <c r="C126" s="41" t="n">
        <v>107601.9438682924</v>
      </c>
    </row>
    <row r="127">
      <c r="A127" s="40" t="n">
        <v>45841</v>
      </c>
      <c r="B127" s="41" t="n">
        <v>100000</v>
      </c>
      <c r="C127" s="41" t="n">
        <v>107455.1069631993</v>
      </c>
    </row>
    <row r="128">
      <c r="A128" s="40" t="n">
        <v>45842</v>
      </c>
      <c r="B128" s="41" t="n">
        <v>100000</v>
      </c>
      <c r="C128" s="41" t="n">
        <v>107726.1904802942</v>
      </c>
    </row>
    <row r="129">
      <c r="A129" s="40" t="n">
        <v>45845</v>
      </c>
      <c r="B129" s="41" t="n">
        <v>100000</v>
      </c>
      <c r="C129" s="41" t="n">
        <v>107711.1379452233</v>
      </c>
    </row>
    <row r="130">
      <c r="A130" s="40" t="n">
        <v>45846</v>
      </c>
      <c r="B130" s="41" t="n">
        <v>100000</v>
      </c>
      <c r="C130" s="41" t="n">
        <v>108027.4135389854</v>
      </c>
    </row>
    <row r="131">
      <c r="A131" s="40" t="n">
        <v>45847</v>
      </c>
      <c r="B131" s="41" t="n">
        <v>100000</v>
      </c>
      <c r="C131" s="41" t="n">
        <v>107873.0388758721</v>
      </c>
    </row>
    <row r="132">
      <c r="A132" s="40" t="n">
        <v>45848</v>
      </c>
      <c r="B132" s="41" t="n">
        <v>100000</v>
      </c>
      <c r="C132" s="41" t="n">
        <v>107368.5031793597</v>
      </c>
    </row>
    <row r="133">
      <c r="A133" s="40" t="n">
        <v>45849</v>
      </c>
      <c r="B133" s="41" t="n">
        <v>100000</v>
      </c>
      <c r="C133" s="41" t="n">
        <v>106596.6298637929</v>
      </c>
    </row>
    <row r="134">
      <c r="A134" s="40" t="n">
        <v>45852</v>
      </c>
      <c r="B134" s="41" t="n">
        <v>100000</v>
      </c>
      <c r="C134" s="41" t="n">
        <v>106446.0240796897</v>
      </c>
    </row>
    <row r="135">
      <c r="A135" s="40" t="n">
        <v>45853</v>
      </c>
      <c r="B135" s="41" t="n">
        <v>100000</v>
      </c>
      <c r="C135" s="41" t="n">
        <v>106815.0180176547</v>
      </c>
    </row>
    <row r="136">
      <c r="A136" s="40" t="n">
        <v>45854</v>
      </c>
      <c r="B136" s="41" t="n">
        <v>100000</v>
      </c>
      <c r="C136" s="41" t="n">
        <v>106796.1966035736</v>
      </c>
    </row>
    <row r="137">
      <c r="A137" s="40" t="n">
        <v>45855</v>
      </c>
      <c r="B137" s="41" t="n">
        <v>100000</v>
      </c>
      <c r="C137" s="41" t="n">
        <v>106491.2046658722</v>
      </c>
    </row>
    <row r="138">
      <c r="A138" s="40" t="n">
        <v>45856</v>
      </c>
      <c r="B138" s="41" t="n">
        <v>100000</v>
      </c>
      <c r="C138" s="41" t="n">
        <v>105964.0786762686</v>
      </c>
    </row>
    <row r="139">
      <c r="A139" s="40" t="n">
        <v>45859</v>
      </c>
      <c r="B139" s="41" t="n">
        <v>100000</v>
      </c>
      <c r="C139" s="41" t="n">
        <v>106276.5968815054</v>
      </c>
    </row>
    <row r="140">
      <c r="A140" s="40" t="n">
        <v>45860</v>
      </c>
      <c r="B140" s="41" t="n">
        <v>100000</v>
      </c>
      <c r="C140" s="41" t="n">
        <v>106205.0571232215</v>
      </c>
    </row>
    <row r="141">
      <c r="A141" s="40" t="n">
        <v>45861</v>
      </c>
      <c r="B141" s="41" t="n">
        <v>100000</v>
      </c>
      <c r="C141" s="41" t="n">
        <v>106754.7734059164</v>
      </c>
    </row>
    <row r="142">
      <c r="A142" s="40" t="n">
        <v>45862</v>
      </c>
      <c r="B142" s="41" t="n">
        <v>100000</v>
      </c>
      <c r="C142" s="41" t="n">
        <v>106216.3522697672</v>
      </c>
    </row>
    <row r="143">
      <c r="A143" s="40" t="n">
        <v>45863</v>
      </c>
      <c r="B143" s="41" t="n">
        <v>100000</v>
      </c>
      <c r="C143" s="41" t="n">
        <v>105436.9526866649</v>
      </c>
    </row>
    <row r="144">
      <c r="A144" s="40" t="n">
        <v>45866</v>
      </c>
      <c r="B144" s="41" t="n">
        <v>100000</v>
      </c>
      <c r="C144" s="41" t="n">
        <v>104857.1083528585</v>
      </c>
    </row>
    <row r="145">
      <c r="A145" s="40" t="n">
        <v>45867</v>
      </c>
      <c r="B145" s="41" t="n">
        <v>100000</v>
      </c>
      <c r="C145" s="41" t="n">
        <v>105459.5429797562</v>
      </c>
    </row>
    <row r="146">
      <c r="A146" s="40" t="n">
        <v>45868</v>
      </c>
      <c r="B146" s="41" t="n">
        <v>100000</v>
      </c>
      <c r="C146" s="41" t="n">
        <v>105474.6070053119</v>
      </c>
    </row>
    <row r="147">
      <c r="A147" s="40" t="n">
        <v>45869</v>
      </c>
      <c r="B147" s="41" t="n">
        <v>100000</v>
      </c>
      <c r="C147" s="41" t="n">
        <v>105147.0362650041</v>
      </c>
    </row>
    <row r="148">
      <c r="A148" s="40" t="n">
        <v>45870</v>
      </c>
      <c r="B148" s="41" t="n">
        <v>100000</v>
      </c>
      <c r="C148" s="41" t="n">
        <v>104427.8812936401</v>
      </c>
    </row>
    <row r="149">
      <c r="A149" s="40" t="n">
        <v>45873</v>
      </c>
      <c r="B149" s="41" t="n">
        <v>100000</v>
      </c>
      <c r="C149" s="41" t="n">
        <v>104992.6616018908</v>
      </c>
    </row>
    <row r="150">
      <c r="A150" s="40" t="n">
        <v>45874</v>
      </c>
      <c r="B150" s="41" t="n">
        <v>100000</v>
      </c>
      <c r="C150" s="41" t="n">
        <v>104725.3354733212</v>
      </c>
    </row>
    <row r="151">
      <c r="A151" s="40" t="n">
        <v>45875</v>
      </c>
      <c r="B151" s="41" t="n">
        <v>100000</v>
      </c>
      <c r="C151" s="41" t="n">
        <v>104412.8172680844</v>
      </c>
    </row>
    <row r="152">
      <c r="A152" s="40" t="n">
        <v>45876</v>
      </c>
      <c r="B152" s="41" t="n">
        <v>100000</v>
      </c>
      <c r="C152" s="41" t="n">
        <v>104405.2910005489</v>
      </c>
    </row>
    <row r="153">
      <c r="A153" s="40" t="n">
        <v>45877</v>
      </c>
      <c r="B153" s="41" t="n">
        <v>100000</v>
      </c>
      <c r="C153" s="41" t="n">
        <v>103595.7748568199</v>
      </c>
    </row>
    <row r="154">
      <c r="A154" s="40" t="n">
        <v>45880</v>
      </c>
      <c r="B154" s="41" t="n">
        <v>100000</v>
      </c>
      <c r="C154" s="41" t="n">
        <v>104405.2910005489</v>
      </c>
    </row>
    <row r="155">
      <c r="A155" s="40" t="n">
        <v>45881</v>
      </c>
      <c r="B155" s="41" t="n">
        <v>100000</v>
      </c>
      <c r="C155" s="41" t="n">
        <v>104122.9008464236</v>
      </c>
    </row>
    <row r="156">
      <c r="A156" s="40" t="n">
        <v>45882</v>
      </c>
      <c r="B156" s="41" t="n">
        <v>100000</v>
      </c>
      <c r="C156" s="41" t="n">
        <v>104680.1433966539</v>
      </c>
    </row>
    <row r="157">
      <c r="A157" s="40" t="n">
        <v>45883</v>
      </c>
      <c r="B157" s="41" t="n">
        <v>100000</v>
      </c>
      <c r="C157" s="41" t="n">
        <v>104759.2209129581</v>
      </c>
    </row>
    <row r="158">
      <c r="A158" s="40" t="n">
        <v>45887</v>
      </c>
      <c r="B158" s="41" t="n">
        <v>100000</v>
      </c>
      <c r="C158" s="41" t="n">
        <v>105828.5369177211</v>
      </c>
    </row>
    <row r="159">
      <c r="A159" s="40" t="n">
        <v>45888</v>
      </c>
      <c r="B159" s="41" t="n">
        <v>100000</v>
      </c>
      <c r="C159" s="41" t="n">
        <v>106163.6339255644</v>
      </c>
    </row>
    <row r="160">
      <c r="A160" s="40" t="n">
        <v>45889</v>
      </c>
      <c r="B160" s="41" t="n">
        <v>100000</v>
      </c>
      <c r="C160" s="41" t="n">
        <v>106374.4843214059</v>
      </c>
    </row>
    <row r="161">
      <c r="A161" s="40" t="n">
        <v>45890</v>
      </c>
      <c r="B161" s="41" t="n">
        <v>100000</v>
      </c>
      <c r="C161" s="41" t="n">
        <v>106577.8084497118</v>
      </c>
    </row>
    <row r="162">
      <c r="A162" s="40" t="n">
        <v>45891</v>
      </c>
      <c r="B162" s="41" t="n">
        <v>100000</v>
      </c>
      <c r="C162" s="41" t="n">
        <v>105708.0476942446</v>
      </c>
    </row>
    <row r="163">
      <c r="A163" s="40" t="n">
        <v>45894</v>
      </c>
      <c r="B163" s="41" t="n">
        <v>100000</v>
      </c>
      <c r="C163" s="41" t="n">
        <v>106058.2087276437</v>
      </c>
    </row>
    <row r="164">
      <c r="A164" s="40" t="n">
        <v>45895</v>
      </c>
      <c r="B164" s="41" t="n">
        <v>100000</v>
      </c>
      <c r="C164" s="41" t="n">
        <v>105067.9587487</v>
      </c>
    </row>
    <row r="165">
      <c r="A165" s="40" t="n">
        <v>45897</v>
      </c>
      <c r="B165" s="41" t="n">
        <v>100000</v>
      </c>
      <c r="C165" s="41" t="n">
        <v>104269.7377515167</v>
      </c>
    </row>
    <row r="166">
      <c r="A166" s="40" t="n">
        <v>45898</v>
      </c>
      <c r="B166" s="41" t="n">
        <v>100000</v>
      </c>
      <c r="C166" s="41" t="n">
        <v>103942.1670112089</v>
      </c>
    </row>
    <row r="167">
      <c r="A167" s="40" t="n">
        <v>45901</v>
      </c>
      <c r="B167" s="41" t="n">
        <v>100000</v>
      </c>
      <c r="C167" s="41" t="n">
        <v>104740.3880083922</v>
      </c>
    </row>
    <row r="168">
      <c r="A168" s="40" t="n">
        <v>45902</v>
      </c>
      <c r="B168" s="41" t="n">
        <v>100000</v>
      </c>
      <c r="C168" s="41" t="n">
        <v>104552.127905642</v>
      </c>
    </row>
    <row r="169">
      <c r="A169" s="40" t="n">
        <v>45903</v>
      </c>
      <c r="B169" s="41" t="n">
        <v>100000</v>
      </c>
      <c r="C169" s="41" t="n">
        <v>105026.5470415277</v>
      </c>
    </row>
    <row r="170">
      <c r="A170" s="40" t="n">
        <v>45904</v>
      </c>
      <c r="B170" s="41" t="n">
        <v>100000</v>
      </c>
      <c r="C170" s="41" t="n">
        <v>105169.6265580954</v>
      </c>
    </row>
    <row r="171">
      <c r="A171" s="40" t="n">
        <v>45905</v>
      </c>
      <c r="B171" s="41" t="n">
        <v>100000</v>
      </c>
      <c r="C171" s="41" t="n">
        <v>105275.0517560161</v>
      </c>
    </row>
    <row r="172">
      <c r="A172" s="40" t="n">
        <v>45908</v>
      </c>
      <c r="B172" s="41" t="n">
        <v>100000</v>
      </c>
      <c r="C172" s="41" t="n">
        <v>105421.8886611092</v>
      </c>
    </row>
    <row r="173">
      <c r="A173" s="40" t="n">
        <v>45909</v>
      </c>
      <c r="B173" s="41" t="n">
        <v>100000</v>
      </c>
      <c r="C173" s="41" t="n">
        <v>105628.9816684253</v>
      </c>
    </row>
    <row r="174">
      <c r="A174" s="40" t="n">
        <v>45910</v>
      </c>
      <c r="B174" s="41" t="n">
        <v>100000</v>
      </c>
      <c r="C174" s="41" t="n">
        <v>106118.4533393819</v>
      </c>
    </row>
    <row r="175">
      <c r="A175" s="40" t="n">
        <v>45911</v>
      </c>
      <c r="B175" s="41" t="n">
        <v>100000</v>
      </c>
      <c r="C175" s="41" t="n">
        <v>106378.253200416</v>
      </c>
    </row>
    <row r="176">
      <c r="A176" s="40" t="n">
        <v>45912</v>
      </c>
      <c r="B176" s="41" t="n">
        <v>100000</v>
      </c>
      <c r="C176" s="41" t="n">
        <v>106747.2471383809</v>
      </c>
    </row>
    <row r="177">
      <c r="A177" s="40" t="n">
        <v>45915</v>
      </c>
      <c r="B177" s="41" t="n">
        <v>100000</v>
      </c>
      <c r="C177" s="41" t="n">
        <v>106600.3987428031</v>
      </c>
    </row>
    <row r="178">
      <c r="A178" s="40" t="n">
        <v>45916</v>
      </c>
      <c r="B178" s="41" t="n">
        <v>100000</v>
      </c>
      <c r="C178" s="41" t="n">
        <v>107266.8468604491</v>
      </c>
    </row>
    <row r="179">
      <c r="A179" s="40" t="n">
        <v>45917</v>
      </c>
      <c r="B179" s="41" t="n">
        <v>100000</v>
      </c>
      <c r="C179" s="41" t="n">
        <v>107677.2525055864</v>
      </c>
    </row>
    <row r="180">
      <c r="A180" s="40" t="n">
        <v>45918</v>
      </c>
      <c r="B180" s="41" t="n">
        <v>100000</v>
      </c>
      <c r="C180" s="41" t="n">
        <v>107948.3475131661</v>
      </c>
    </row>
    <row r="181">
      <c r="A181" s="40" t="n">
        <v>45919</v>
      </c>
      <c r="B181" s="41" t="n">
        <v>100000</v>
      </c>
      <c r="C181" s="41" t="n">
        <v>107647.1244544749</v>
      </c>
    </row>
    <row r="182">
      <c r="A182" s="40" t="n">
        <v>45922</v>
      </c>
      <c r="B182" s="41" t="n">
        <v>100000</v>
      </c>
      <c r="C182" s="41" t="n">
        <v>107116.2295858611</v>
      </c>
    </row>
    <row r="183">
      <c r="A183" s="40" t="n">
        <v>45923</v>
      </c>
      <c r="B183" s="41" t="n">
        <v>100000</v>
      </c>
      <c r="C183" s="41" t="n">
        <v>107063.5227321431</v>
      </c>
    </row>
    <row r="184">
      <c r="A184" s="40" t="n">
        <v>45924</v>
      </c>
      <c r="B184" s="41" t="n">
        <v>100000</v>
      </c>
      <c r="C184" s="41" t="n">
        <v>106510.0375704381</v>
      </c>
    </row>
    <row r="185">
      <c r="A185" s="40" t="n">
        <v>45925</v>
      </c>
      <c r="B185" s="41" t="n">
        <v>100000</v>
      </c>
      <c r="C185" s="41" t="n">
        <v>105892.5389179847</v>
      </c>
    </row>
    <row r="186">
      <c r="A186" s="40" t="n">
        <v>45926</v>
      </c>
      <c r="B186" s="41" t="n">
        <v>100000</v>
      </c>
      <c r="C186" s="41" t="n">
        <v>104951.2384042336</v>
      </c>
    </row>
    <row r="187">
      <c r="A187" s="40" t="n">
        <v>45929</v>
      </c>
      <c r="B187" s="41" t="n">
        <v>100000</v>
      </c>
      <c r="C187" s="41" t="n">
        <v>104875.9412574244</v>
      </c>
    </row>
    <row r="188">
      <c r="A188" s="40" t="n">
        <v>45930</v>
      </c>
      <c r="B188" s="41" t="n">
        <v>100000</v>
      </c>
      <c r="C188" s="41" t="n">
        <v>104491.8832939037</v>
      </c>
    </row>
    <row r="189">
      <c r="A189" s="40" t="n">
        <v>45931</v>
      </c>
      <c r="B189" s="41" t="n">
        <v>100000</v>
      </c>
      <c r="C189" s="41" t="n">
        <v>105617.6865218797</v>
      </c>
    </row>
    <row r="190">
      <c r="A190" s="40" t="n">
        <v>45933</v>
      </c>
      <c r="B190" s="41" t="n">
        <v>100000</v>
      </c>
      <c r="C190" s="41" t="n">
        <v>105862.422357358</v>
      </c>
    </row>
    <row r="191">
      <c r="A191" s="40" t="n">
        <v>45936</v>
      </c>
      <c r="B191" s="41" t="n">
        <v>100000</v>
      </c>
      <c r="C191" s="41" t="n">
        <v>106581.577328722</v>
      </c>
    </row>
    <row r="192">
      <c r="A192" s="40" t="n">
        <v>45937</v>
      </c>
      <c r="B192" s="41" t="n">
        <v>100000</v>
      </c>
      <c r="C192" s="41" t="n">
        <v>106709.5928197339</v>
      </c>
    </row>
    <row r="193">
      <c r="A193" s="40" t="n">
        <v>45938</v>
      </c>
      <c r="B193" s="41" t="n">
        <v>100000</v>
      </c>
      <c r="C193" s="41" t="n">
        <v>106321.7774676879</v>
      </c>
    </row>
    <row r="194">
      <c r="A194" s="40" t="n">
        <v>45939</v>
      </c>
      <c r="B194" s="41" t="n">
        <v>100000</v>
      </c>
      <c r="C194" s="41" t="n">
        <v>106950.5597762021</v>
      </c>
    </row>
    <row r="195">
      <c r="A195" s="40" t="n">
        <v>45940</v>
      </c>
      <c r="B195" s="41" t="n">
        <v>100000</v>
      </c>
      <c r="C195" s="41" t="n">
        <v>107504.0449379072</v>
      </c>
    </row>
    <row r="196">
      <c r="A196" s="40" t="n">
        <v>45943</v>
      </c>
      <c r="B196" s="41" t="n">
        <v>100000</v>
      </c>
      <c r="C196" s="41" t="n">
        <v>107172.716809074</v>
      </c>
    </row>
    <row r="197">
      <c r="A197" s="40" t="n">
        <v>45944</v>
      </c>
      <c r="B197" s="41" t="n">
        <v>100000</v>
      </c>
      <c r="C197" s="41" t="n">
        <v>106815.0180176547</v>
      </c>
    </row>
    <row r="198">
      <c r="A198" s="40" t="n">
        <v>45945</v>
      </c>
      <c r="B198" s="41" t="n">
        <v>100000</v>
      </c>
      <c r="C198" s="41" t="n">
        <v>107711.1379452233</v>
      </c>
    </row>
    <row r="199">
      <c r="A199" s="40" t="n">
        <v>45946</v>
      </c>
      <c r="B199" s="41" t="n">
        <v>100000</v>
      </c>
      <c r="C199" s="41" t="n">
        <v>108701.3879241669</v>
      </c>
    </row>
    <row r="200">
      <c r="A200" s="40" t="n">
        <v>45947</v>
      </c>
      <c r="B200" s="41" t="n">
        <v>100000</v>
      </c>
      <c r="C200" s="41" t="n">
        <v>109254.873085872</v>
      </c>
    </row>
    <row r="201">
      <c r="A201" s="40" t="n">
        <v>45950</v>
      </c>
      <c r="B201" s="41" t="n">
        <v>100000</v>
      </c>
      <c r="C201" s="41" t="n">
        <v>109891.1816619217</v>
      </c>
    </row>
    <row r="202">
      <c r="A202" s="40" t="n">
        <v>45951</v>
      </c>
      <c r="B202" s="41" t="n">
        <v>100000</v>
      </c>
      <c r="C202" s="41" t="n">
        <v>109894.9505409318</v>
      </c>
    </row>
    <row r="203">
      <c r="A203" s="40" t="n">
        <v>45953</v>
      </c>
      <c r="B203" s="41" t="n">
        <v>100000</v>
      </c>
      <c r="C203" s="41" t="n">
        <v>110090.7484017023</v>
      </c>
    </row>
    <row r="204">
      <c r="A204" s="40" t="n">
        <v>45954</v>
      </c>
      <c r="B204" s="41" t="n">
        <v>100000</v>
      </c>
      <c r="C204" s="41" t="n">
        <v>110090.7484017023</v>
      </c>
    </row>
    <row r="205">
      <c r="A205" s="40" t="n">
        <v>45957</v>
      </c>
      <c r="B205" s="41" t="n">
        <v>100000</v>
      </c>
      <c r="C205" s="41" t="n">
        <v>110452.2045816469</v>
      </c>
    </row>
    <row r="206">
      <c r="A206" s="40" t="n">
        <v>45958</v>
      </c>
      <c r="B206" s="41" t="n">
        <v>100000</v>
      </c>
      <c r="C206" s="41" t="n">
        <v>110358.0745302718</v>
      </c>
    </row>
    <row r="207">
      <c r="A207" s="40" t="n">
        <v>45959</v>
      </c>
      <c r="B207" s="41" t="n">
        <v>100000</v>
      </c>
      <c r="C207" s="41" t="n">
        <v>110885.2005198755</v>
      </c>
    </row>
    <row r="208">
      <c r="A208" s="40" t="n">
        <v>45960</v>
      </c>
      <c r="B208" s="41" t="n">
        <v>100000</v>
      </c>
      <c r="C208" s="41" t="n">
        <v>110162.2766695014</v>
      </c>
    </row>
    <row r="209">
      <c r="A209" s="40" t="n">
        <v>45961</v>
      </c>
      <c r="B209" s="41" t="n">
        <v>100000</v>
      </c>
      <c r="C209" s="41" t="n">
        <v>109597.4963612507</v>
      </c>
    </row>
    <row r="210">
      <c r="A210" s="40" t="n">
        <v>45964</v>
      </c>
      <c r="B210" s="41" t="n">
        <v>100000</v>
      </c>
      <c r="C210" s="41" t="n">
        <v>109699.1641706461</v>
      </c>
    </row>
    <row r="211">
      <c r="A211" s="40" t="n">
        <v>45965</v>
      </c>
      <c r="B211" s="41" t="n">
        <v>99990.39</v>
      </c>
      <c r="C211" s="41" t="n">
        <v>109036.4849320102</v>
      </c>
    </row>
    <row r="212">
      <c r="A212" s="40" t="n">
        <v>45967</v>
      </c>
      <c r="B212" s="41" t="n">
        <v>99934.42999999999</v>
      </c>
      <c r="C212" s="41" t="n">
        <v>108528.1803564877</v>
      </c>
    </row>
    <row r="213">
      <c r="A213" s="40" t="n">
        <v>45968</v>
      </c>
      <c r="B213" s="41" t="n">
        <v>100010.22</v>
      </c>
      <c r="C213" s="41" t="n">
        <v>108603.4889937817</v>
      </c>
    </row>
    <row r="214">
      <c r="A214" s="40" t="n">
        <v>45971</v>
      </c>
      <c r="B214" s="41" t="n">
        <v>99955.37</v>
      </c>
      <c r="C214" s="41" t="n">
        <v>108998.8306133632</v>
      </c>
    </row>
    <row r="215">
      <c r="A215" s="40" t="n">
        <v>45972</v>
      </c>
      <c r="B215" s="41" t="n">
        <v>100207.2</v>
      </c>
      <c r="C215" s="41" t="n">
        <v>109499.6089213503</v>
      </c>
    </row>
    <row r="216">
      <c r="A216" s="40" t="n">
        <v>45973</v>
      </c>
      <c r="B216" s="41" t="n">
        <v>100266.2</v>
      </c>
      <c r="C216" s="41" t="n">
        <v>110214.9950137041</v>
      </c>
    </row>
    <row r="217">
      <c r="A217" s="40" t="n">
        <v>45974</v>
      </c>
      <c r="B217" s="41" t="n">
        <v>99869.36</v>
      </c>
      <c r="C217" s="41" t="n">
        <v>110090.7484017023</v>
      </c>
    </row>
    <row r="218">
      <c r="A218" s="40" t="n">
        <v>45975</v>
      </c>
      <c r="B218" s="41" t="n">
        <v>100137.75</v>
      </c>
      <c r="C218" s="41" t="n">
        <v>110256.4067208765</v>
      </c>
    </row>
    <row r="219">
      <c r="A219" s="40" t="n">
        <v>45978</v>
      </c>
      <c r="B219" s="41" t="n">
        <v>100400.12</v>
      </c>
      <c r="C219" s="41" t="n">
        <v>110685.6452705797</v>
      </c>
    </row>
    <row r="220">
      <c r="A220" s="40" t="n">
        <v>45979</v>
      </c>
      <c r="B220" s="41" t="n">
        <v>100021.79</v>
      </c>
      <c r="C220" s="41" t="n">
        <v>110309.1250650792</v>
      </c>
    </row>
    <row r="221">
      <c r="A221" s="40" t="n">
        <v>45980</v>
      </c>
      <c r="B221" s="41" t="n">
        <v>100206.65</v>
      </c>
      <c r="C221" s="41" t="n">
        <v>110836.2510546829</v>
      </c>
    </row>
    <row r="222">
      <c r="A222" s="40" t="n">
        <v>45981</v>
      </c>
      <c r="B222" s="41" t="n">
        <v>100139.74</v>
      </c>
      <c r="C222" s="41" t="n">
        <v>111314.4390695787</v>
      </c>
    </row>
    <row r="223">
      <c r="A223" s="40" t="n">
        <v>45982</v>
      </c>
      <c r="B223" s="41" t="n">
        <v>99919.25999999999</v>
      </c>
      <c r="C223" s="41" t="n">
        <v>110817.4296406018</v>
      </c>
    </row>
    <row r="224">
      <c r="A224" s="40" t="n">
        <v>45985</v>
      </c>
      <c r="B224" s="41" t="n">
        <v>99511.86</v>
      </c>
      <c r="C224" s="41" t="n">
        <v>110433.3716770811</v>
      </c>
    </row>
    <row r="225">
      <c r="A225" s="40" t="n">
        <v>45986</v>
      </c>
      <c r="B225" s="41" t="n">
        <v>99594.56</v>
      </c>
      <c r="C225" s="41" t="n">
        <v>110199.9309881484</v>
      </c>
    </row>
    <row r="226">
      <c r="A226" s="40" t="n">
        <v>45987</v>
      </c>
      <c r="B226" s="41" t="n">
        <v>100593.3</v>
      </c>
      <c r="C226" s="41" t="n">
        <v>111453.7497071363</v>
      </c>
    </row>
    <row r="227">
      <c r="A227" s="40" t="n">
        <v>45988</v>
      </c>
      <c r="B227" s="41" t="n">
        <v>100445.56</v>
      </c>
      <c r="C227" s="41" t="n">
        <v>111608.1243702496</v>
      </c>
    </row>
    <row r="228">
      <c r="A228" s="40" t="n">
        <v>45989</v>
      </c>
      <c r="B228" s="41" t="n">
        <v>100420.94</v>
      </c>
      <c r="C228" s="41" t="n">
        <v>111634.4720518662</v>
      </c>
    </row>
    <row r="229">
      <c r="A229" s="40" t="n">
        <v>45992</v>
      </c>
      <c r="B229" s="41" t="n">
        <v>100425.31</v>
      </c>
      <c r="C229" s="41" t="n">
        <v>111487.6351467731</v>
      </c>
    </row>
    <row r="230">
      <c r="A230" s="40" t="n">
        <v>45993</v>
      </c>
      <c r="B230" s="41" t="n">
        <v>100362.68</v>
      </c>
      <c r="C230" s="41" t="n">
        <v>110945.4451316137</v>
      </c>
    </row>
    <row r="231">
      <c r="A231" s="40" t="n">
        <v>45994</v>
      </c>
      <c r="B231" s="41" t="n">
        <v>100002.71</v>
      </c>
      <c r="C231" s="41" t="n">
        <v>110621.6317798313</v>
      </c>
    </row>
    <row r="232">
      <c r="A232" s="40" t="n">
        <v>45995</v>
      </c>
      <c r="B232" s="41" t="n">
        <v>100033.28</v>
      </c>
      <c r="C232" s="41" t="n">
        <v>110836.2510546829</v>
      </c>
    </row>
    <row r="233">
      <c r="A233" s="40" t="n">
        <v>45996</v>
      </c>
      <c r="B233" s="41" t="n">
        <v>99494.82000000001</v>
      </c>
      <c r="C233" s="41" t="n">
        <v>111453.7497071363</v>
      </c>
    </row>
    <row r="234">
      <c r="A234" s="40" t="n">
        <v>45999</v>
      </c>
      <c r="B234" s="41" t="n">
        <v>98833.75999999999</v>
      </c>
      <c r="C234" s="41" t="n">
        <v>110489.858900294</v>
      </c>
    </row>
    <row r="235">
      <c r="A235" s="40" t="n">
        <v>46000</v>
      </c>
      <c r="B235" s="41" t="n">
        <v>98929.99000000001</v>
      </c>
      <c r="C235" s="41" t="n">
        <v>110075.6843761465</v>
      </c>
    </row>
    <row r="236">
      <c r="A236" s="40" t="n">
        <v>46001</v>
      </c>
      <c r="B236" s="41" t="n">
        <v>98549.11</v>
      </c>
      <c r="C236" s="41" t="n">
        <v>109778.2301964655</v>
      </c>
    </row>
    <row r="237">
      <c r="A237" s="40" t="n">
        <v>46002</v>
      </c>
      <c r="B237" s="41" t="n">
        <v>99497.55</v>
      </c>
      <c r="C237" s="41" t="n">
        <v>110294.0610395235</v>
      </c>
    </row>
    <row r="238">
      <c r="A238" s="40" t="n">
        <v>46003</v>
      </c>
      <c r="B238" s="41" t="n">
        <v>100373.56</v>
      </c>
      <c r="C238" s="41" t="n">
        <v>110956.7402781594</v>
      </c>
    </row>
    <row r="239">
      <c r="A239" s="40" t="n">
        <v>46006</v>
      </c>
      <c r="B239" s="41" t="n">
        <v>100595.41</v>
      </c>
      <c r="C239" s="41" t="n">
        <v>110900.2645454312</v>
      </c>
    </row>
    <row r="240">
      <c r="A240" s="40" t="n">
        <v>46007</v>
      </c>
      <c r="B240" s="41" t="n">
        <v>99650.14</v>
      </c>
      <c r="C240" s="41" t="n">
        <v>110192.4047206129</v>
      </c>
    </row>
    <row r="241">
      <c r="A241" s="40" t="n">
        <v>46008</v>
      </c>
      <c r="B241" s="41" t="n">
        <v>99352.35000000001</v>
      </c>
      <c r="C241" s="41" t="n">
        <v>109834.7059291936</v>
      </c>
    </row>
    <row r="242">
      <c r="A242" s="40" t="n">
        <v>46009</v>
      </c>
      <c r="B242" s="41" t="n">
        <v>99098.31</v>
      </c>
      <c r="C242" s="41" t="n">
        <v>109883.6553943862</v>
      </c>
    </row>
    <row r="243">
      <c r="A243" s="40" t="n">
        <v>46010</v>
      </c>
      <c r="B243" s="41" t="n">
        <v>99797.7</v>
      </c>
      <c r="C243" s="41" t="n">
        <v>110489.6635620526</v>
      </c>
    </row>
    <row r="244">
      <c r="A244" s="40" t="n">
        <v>46013</v>
      </c>
      <c r="B244" s="41" t="n">
        <v>100240.94</v>
      </c>
      <c r="C244" s="41" t="n">
        <v>111333.2604836598</v>
      </c>
    </row>
    <row r="245">
      <c r="A245" s="40" t="n">
        <v>46014</v>
      </c>
      <c r="B245" s="41" t="n">
        <v>100339.83</v>
      </c>
      <c r="C245" s="41" t="n">
        <v>111329.4916046497</v>
      </c>
    </row>
    <row r="246">
      <c r="A246" s="40" t="n">
        <v>46015</v>
      </c>
      <c r="B246" s="41" t="n">
        <v>100371.35</v>
      </c>
      <c r="C246" s="41" t="n">
        <v>111261.7207253759</v>
      </c>
    </row>
    <row r="247">
      <c r="A247" s="40" t="n">
        <v>46017</v>
      </c>
      <c r="B247" s="41" t="n">
        <v>100396.26</v>
      </c>
      <c r="C247" s="41" t="n">
        <v>110870.1364943197</v>
      </c>
    </row>
    <row r="248">
      <c r="A248" s="40" t="n">
        <v>46020</v>
      </c>
      <c r="B248" s="41" t="n">
        <v>100479.6</v>
      </c>
      <c r="C248" s="41" t="n">
        <v>110376.895944353</v>
      </c>
    </row>
    <row r="249">
      <c r="A249" s="40" t="n">
        <v>46021</v>
      </c>
      <c r="B249" s="41" t="n">
        <v>100336.74</v>
      </c>
      <c r="C249" s="41" t="n">
        <v>110440.9094351013</v>
      </c>
    </row>
    <row r="250">
      <c r="A250" s="40" t="n">
        <v>46022</v>
      </c>
      <c r="B250" s="41" t="n">
        <v>100601.94</v>
      </c>
      <c r="C250" s="41" t="n">
        <v>111190.1809670921</v>
      </c>
    </row>
    <row r="251">
      <c r="A251" s="40" t="n">
        <v>46023</v>
      </c>
      <c r="B251" s="41" t="n">
        <v>100897.9</v>
      </c>
      <c r="C251" s="41" t="n">
        <v>111197.7072346275</v>
      </c>
    </row>
    <row r="252">
      <c r="A252" s="40" t="n">
        <v>46024</v>
      </c>
      <c r="B252" s="41" t="n">
        <v>101396.03</v>
      </c>
      <c r="C252" s="41" t="n">
        <v>112033.5825504579</v>
      </c>
    </row>
    <row r="253">
      <c r="A253" s="40" t="n">
        <v>46027</v>
      </c>
      <c r="B253" s="41" t="n">
        <v>101258.3</v>
      </c>
      <c r="C253" s="41" t="n">
        <v>111604.3554912395</v>
      </c>
    </row>
    <row r="254">
      <c r="A254" s="40" t="n">
        <v>46028</v>
      </c>
      <c r="B254" s="41" t="n">
        <v>101503.66</v>
      </c>
      <c r="C254" s="41" t="n">
        <v>111457.5070956616</v>
      </c>
    </row>
    <row r="255">
      <c r="A255" s="40" t="n">
        <v>46029</v>
      </c>
      <c r="B255" s="41" t="n">
        <v>101694.7</v>
      </c>
      <c r="C255" s="41" t="n">
        <v>111344.5556302054</v>
      </c>
    </row>
    <row r="256">
      <c r="A256" s="40" t="n">
        <v>46030</v>
      </c>
      <c r="B256" s="41" t="n">
        <v>101800.43</v>
      </c>
      <c r="C256" s="41" t="n">
        <v>110294.0610395235</v>
      </c>
    </row>
    <row r="257">
      <c r="A257" s="40" t="n">
        <v>46031</v>
      </c>
      <c r="B257" s="41" t="n">
        <v>101721.34</v>
      </c>
      <c r="C257" s="41" t="n">
        <v>109413.0051375106</v>
      </c>
    </row>
    <row r="258">
      <c r="A258" s="40" t="n">
        <v>46034</v>
      </c>
      <c r="B258" s="41" t="n">
        <v>101804.24</v>
      </c>
      <c r="C258" s="41" t="n">
        <v>109894.9505409318</v>
      </c>
    </row>
    <row r="259">
      <c r="A259" s="40" t="n">
        <v>46035</v>
      </c>
      <c r="B259" s="41" t="n">
        <v>101789.36</v>
      </c>
      <c r="C259" s="41" t="n">
        <v>109616.3292658166</v>
      </c>
    </row>
    <row r="260">
      <c r="A260" s="40" t="n">
        <v>46036</v>
      </c>
      <c r="B260" s="41" t="n">
        <v>101880.96</v>
      </c>
      <c r="C260" s="41" t="n">
        <v>109439.364309612</v>
      </c>
    </row>
    <row r="261">
      <c r="A261" s="40" t="n">
        <v>46037</v>
      </c>
      <c r="B261" s="41" t="n">
        <v>101880.96</v>
      </c>
      <c r="C261" s="41" t="n">
        <v>109439.364309612</v>
      </c>
    </row>
    <row r="262">
      <c r="A262" s="40" t="n">
        <v>46038</v>
      </c>
      <c r="B262" s="41" t="n">
        <v>101813.12</v>
      </c>
      <c r="C262" s="41" t="n">
        <v>109582.4438261798</v>
      </c>
    </row>
    <row r="263">
      <c r="A263" s="40" t="n">
        <v>46041</v>
      </c>
      <c r="B263" s="41" t="n">
        <v>101602.56</v>
      </c>
      <c r="C263" s="41" t="n">
        <v>109051.548957566</v>
      </c>
    </row>
    <row r="264">
      <c r="A264" s="40" t="n">
        <v>46042</v>
      </c>
      <c r="B264" s="41" t="n">
        <v>100684.84</v>
      </c>
      <c r="C264" s="41" t="n">
        <v>107790.2039710426</v>
      </c>
    </row>
    <row r="265">
      <c r="A265" s="40" t="n">
        <v>46043</v>
      </c>
      <c r="B265" s="41" t="n">
        <v>100752.25</v>
      </c>
      <c r="C265" s="41" t="n">
        <v>107289.4371535403</v>
      </c>
    </row>
    <row r="266">
      <c r="A266" s="40" t="n">
        <v>46044</v>
      </c>
      <c r="B266" s="41" t="n">
        <v>101298.05</v>
      </c>
      <c r="C266" s="41" t="n">
        <v>107914.4505830444</v>
      </c>
    </row>
    <row r="267">
      <c r="A267" s="40" t="n">
        <v>46045</v>
      </c>
      <c r="B267" s="41" t="n">
        <v>99992.60000000001</v>
      </c>
      <c r="C267" s="41" t="n">
        <v>106897.8529224841</v>
      </c>
    </row>
    <row r="268">
      <c r="A268" s="40" t="n">
        <v>46049</v>
      </c>
      <c r="B268" s="41" t="n">
        <v>99898.89999999999</v>
      </c>
      <c r="C268" s="41" t="n">
        <v>107391.0934724509</v>
      </c>
    </row>
    <row r="269">
      <c r="A269" s="40" t="n">
        <v>46050</v>
      </c>
      <c r="B269" s="41" t="n">
        <v>99946.71000000001</v>
      </c>
      <c r="C269" s="41" t="n">
        <v>107914.4505830444</v>
      </c>
    </row>
    <row r="270">
      <c r="A270" s="40" t="n">
        <v>46051</v>
      </c>
      <c r="B270" s="41" t="n">
        <v>100060.86</v>
      </c>
      <c r="C270" s="41" t="n">
        <v>108200.6096161799</v>
      </c>
    </row>
    <row r="271">
      <c r="A271" s="40" t="n">
        <v>46052</v>
      </c>
      <c r="B271" s="41" t="n">
        <v>100246.88</v>
      </c>
      <c r="C271" s="41" t="n">
        <v>107959.6426597117</v>
      </c>
    </row>
    <row r="272">
      <c r="A272" s="40" t="n">
        <v>46055</v>
      </c>
      <c r="B272" s="41" t="n">
        <v>99623</v>
      </c>
      <c r="C272" s="41" t="n">
        <v>106909.1480690298</v>
      </c>
    </row>
    <row r="273">
      <c r="A273" s="40" t="n">
        <v>46056</v>
      </c>
      <c r="B273" s="41" t="n">
        <v>101992.85</v>
      </c>
      <c r="C273" s="41" t="n">
        <v>109657.740972989</v>
      </c>
    </row>
    <row r="274">
      <c r="A274" s="40" t="n">
        <v>46057</v>
      </c>
      <c r="B274" s="41" t="n">
        <v>102384.38</v>
      </c>
      <c r="C274" s="41" t="n">
        <v>109812.1156361023</v>
      </c>
    </row>
    <row r="275">
      <c r="A275" s="40" t="n">
        <v>46058</v>
      </c>
      <c r="B275" s="41" t="n">
        <v>101990.96</v>
      </c>
      <c r="C275" s="41" t="n">
        <v>109322.6439651457</v>
      </c>
    </row>
    <row r="276">
      <c r="A276" s="40" t="n">
        <v>46059</v>
      </c>
      <c r="B276" s="41" t="n">
        <v>102334.03</v>
      </c>
      <c r="C276" s="41" t="n">
        <v>109435.5954306019</v>
      </c>
    </row>
    <row r="277">
      <c r="A277" s="40" t="n">
        <v>46062</v>
      </c>
      <c r="B277" s="41" t="n">
        <v>102434.18</v>
      </c>
      <c r="C277" s="41" t="n">
        <v>110154.7504019659</v>
      </c>
    </row>
    <row r="278">
      <c r="A278" s="40" t="n">
        <v>46063</v>
      </c>
      <c r="B278" s="41" t="n">
        <v>102333.24</v>
      </c>
      <c r="C278" s="41" t="n">
        <v>110531.2706074663</v>
      </c>
    </row>
    <row r="279">
      <c r="A279" s="40" t="n">
        <v>46064</v>
      </c>
      <c r="B279" s="41" t="n">
        <v>102361.55</v>
      </c>
      <c r="C279" s="41" t="n">
        <v>110640.4646843972</v>
      </c>
    </row>
    <row r="280">
      <c r="A280" s="40" t="n">
        <v>46065</v>
      </c>
      <c r="B280" s="41" t="n">
        <v>101561.09</v>
      </c>
      <c r="C280" s="41" t="n">
        <v>110045.556325035</v>
      </c>
    </row>
    <row r="281">
      <c r="A281" s="40" t="n">
        <v>46066</v>
      </c>
      <c r="B281" s="41" t="n">
        <v>100965.12</v>
      </c>
      <c r="C281" s="41" t="n">
        <v>108765.3899244305</v>
      </c>
    </row>
    <row r="282">
      <c r="A282" s="40" t="n">
        <v>46069</v>
      </c>
      <c r="B282" s="41" t="n">
        <v>101064.7</v>
      </c>
      <c r="C282" s="41" t="n">
        <v>109477.018628259</v>
      </c>
    </row>
    <row r="283">
      <c r="A283" s="40" t="n">
        <v>46070</v>
      </c>
      <c r="B283" s="41" t="n">
        <v>101000.47</v>
      </c>
      <c r="C283" s="41" t="n">
        <v>109763.1661709097</v>
      </c>
    </row>
    <row r="284">
      <c r="A284" s="40" t="n">
        <v>46071</v>
      </c>
      <c r="B284" s="41" t="n">
        <v>101006.06</v>
      </c>
      <c r="C284" s="41" t="n">
        <v>110019.2086434184</v>
      </c>
    </row>
    <row r="285">
      <c r="A285" s="40" t="n">
        <v>46072</v>
      </c>
      <c r="B285" s="41" t="n">
        <v>100503.07</v>
      </c>
      <c r="C285" s="41" t="n">
        <v>108580.8987006904</v>
      </c>
    </row>
    <row r="286">
      <c r="A286" s="40" t="n">
        <v>46073</v>
      </c>
      <c r="B286" s="41" t="n">
        <v>100375.9</v>
      </c>
      <c r="C286" s="41" t="n">
        <v>108900.9431734628</v>
      </c>
    </row>
    <row r="287">
      <c r="A287" s="40" t="n">
        <v>46076</v>
      </c>
      <c r="B287" s="41" t="n">
        <v>100431.96</v>
      </c>
      <c r="C287" s="41" t="n">
        <v>109360.2982837927</v>
      </c>
    </row>
    <row r="288">
      <c r="A288" s="40" t="n">
        <v>46077</v>
      </c>
      <c r="B288" s="41" t="n">
        <v>99811.69</v>
      </c>
      <c r="C288" s="41" t="n">
        <v>108381.3434513946</v>
      </c>
    </row>
    <row r="289">
      <c r="A289" s="40" t="n">
        <v>46078</v>
      </c>
      <c r="B289" s="41" t="n">
        <v>99494.45</v>
      </c>
      <c r="C289" s="41" t="n">
        <v>108675.0287520656</v>
      </c>
    </row>
    <row r="290">
      <c r="A290" s="40" t="n">
        <v>46079</v>
      </c>
      <c r="B290" s="41" t="n">
        <v>99624.00999999999</v>
      </c>
      <c r="C290" s="41" t="n">
        <v>108656.1958474997</v>
      </c>
    </row>
    <row r="291">
      <c r="A291" s="40" t="n">
        <v>46080</v>
      </c>
      <c r="B291" s="41" t="n">
        <v>99298.59</v>
      </c>
      <c r="C291" s="41" t="n">
        <v>107417.4526445523</v>
      </c>
    </row>
    <row r="292">
      <c r="A292" s="40" t="n">
        <v>46083</v>
      </c>
      <c r="B292" s="41" t="n">
        <v>99054.06</v>
      </c>
      <c r="C292" s="41" t="n">
        <v>106152.3387790188</v>
      </c>
    </row>
    <row r="293">
      <c r="A293" s="40" t="n">
        <v>46085</v>
      </c>
      <c r="B293" s="41" t="n">
        <v>98572.99000000001</v>
      </c>
      <c r="C293" s="41" t="n">
        <v>104405.2910005489</v>
      </c>
    </row>
    <row r="294">
      <c r="A294" s="40" t="n">
        <v>46086</v>
      </c>
      <c r="B294" s="41" t="n">
        <v>98954.07000000001</v>
      </c>
      <c r="C294" s="41" t="n">
        <v>105557.4419101414</v>
      </c>
    </row>
    <row r="295">
      <c r="A295" s="40" t="n">
        <v>46087</v>
      </c>
      <c r="B295" s="41" t="n">
        <v>98774.49000000001</v>
      </c>
      <c r="C295" s="41" t="n">
        <v>104390.2269749931</v>
      </c>
    </row>
    <row r="296">
      <c r="A296" s="40" t="n">
        <v>46090</v>
      </c>
      <c r="B296" s="41" t="n">
        <v>98405.84</v>
      </c>
      <c r="C296" s="41" t="n">
        <v>102571.6394382394</v>
      </c>
    </row>
    <row r="297">
      <c r="A297" s="40" t="n">
        <v>46091</v>
      </c>
      <c r="B297" s="41" t="n">
        <v>98771.98</v>
      </c>
      <c r="C297" s="41" t="n">
        <v>103524.2350985361</v>
      </c>
    </row>
    <row r="298">
      <c r="A298" s="40" t="n">
        <v>46092</v>
      </c>
      <c r="B298" s="41" t="n">
        <v>98504.3</v>
      </c>
      <c r="C298" s="41" t="n">
        <v>101871.3058809565</v>
      </c>
    </row>
    <row r="299">
      <c r="A299" s="40" t="n">
        <v>46093</v>
      </c>
      <c r="B299" s="41" t="n">
        <v>98020.32000000001</v>
      </c>
      <c r="C299" s="41" t="n">
        <v>100884.824781023</v>
      </c>
    </row>
    <row r="300">
      <c r="A300" s="40" t="n">
        <v>46094</v>
      </c>
      <c r="B300" s="41" t="n">
        <v>96968.22</v>
      </c>
      <c r="C300" s="41" t="n">
        <v>98908.09370214572</v>
      </c>
    </row>
    <row r="301">
      <c r="A301" s="40" t="n">
        <v>46097</v>
      </c>
      <c r="B301" s="41" t="n">
        <v>97462.86</v>
      </c>
      <c r="C301" s="41" t="n">
        <v>99845.62533688665</v>
      </c>
    </row>
    <row r="302">
      <c r="A302" s="40" t="n">
        <v>46098</v>
      </c>
      <c r="B302" s="41" t="n">
        <v>97683.3</v>
      </c>
      <c r="C302" s="41" t="n">
        <v>100591.139480352</v>
      </c>
    </row>
    <row r="303">
      <c r="A303" s="40" t="n">
        <v>46099</v>
      </c>
      <c r="B303" s="41" t="n">
        <v>98155.50999999999</v>
      </c>
      <c r="C303" s="41" t="n">
        <v>101445.8362102635</v>
      </c>
    </row>
    <row r="304">
      <c r="A304" s="40" t="n">
        <v>46100</v>
      </c>
      <c r="B304" s="41" t="n">
        <v>96971.23</v>
      </c>
      <c r="C304" s="41" t="n">
        <v>98693.47442729413</v>
      </c>
    </row>
    <row r="305">
      <c r="A305" s="40" t="n">
        <v>46101</v>
      </c>
      <c r="B305" s="41" t="n">
        <v>97171.92</v>
      </c>
      <c r="C305" s="41" t="n">
        <v>98674.65301321301</v>
      </c>
    </row>
    <row r="306">
      <c r="A306" s="40" t="n">
        <v>46104</v>
      </c>
      <c r="B306" s="41" t="n">
        <v>95921.13</v>
      </c>
      <c r="C306" s="41" t="n">
        <v>96069.12813533677</v>
      </c>
    </row>
    <row r="307">
      <c r="A307" s="40" t="n">
        <v>46105</v>
      </c>
      <c r="B307" s="41" t="n">
        <v>97079.89</v>
      </c>
      <c r="C307" s="41" t="n">
        <v>97831.23993936241</v>
      </c>
    </row>
    <row r="308">
      <c r="A308" s="40" t="n">
        <v>46106</v>
      </c>
      <c r="B308" s="41" t="n">
        <v>98351.31</v>
      </c>
      <c r="C308" s="41" t="n">
        <v>99423.92454520373</v>
      </c>
    </row>
    <row r="309">
      <c r="A309" s="40" t="n">
        <v>46108</v>
      </c>
      <c r="B309" s="41" t="n">
        <v>97511.50999999999</v>
      </c>
      <c r="C309" s="41" t="n">
        <v>97477.32151743802</v>
      </c>
    </row>
    <row r="310">
      <c r="A310" s="40" t="n">
        <v>46111</v>
      </c>
      <c r="B310" s="41" t="n">
        <v>96339.42</v>
      </c>
      <c r="C310" s="41" t="n">
        <v>95425.28180126678</v>
      </c>
    </row>
    <row r="311">
      <c r="A311" s="40" t="n">
        <v>46113</v>
      </c>
      <c r="B311" s="41" t="n">
        <v>97252.12</v>
      </c>
      <c r="C311" s="41" t="n">
        <v>96935.13150227861</v>
      </c>
    </row>
    <row r="312">
      <c r="A312" s="40" t="n">
        <v>46114</v>
      </c>
      <c r="B312" s="41" t="n">
        <v>96914.88</v>
      </c>
      <c r="C312" s="41" t="n">
        <v>96995.36462353208</v>
      </c>
    </row>
    <row r="313">
      <c r="A313" s="40" t="n">
        <v>46118</v>
      </c>
      <c r="B313" s="41" t="n">
        <v>97517</v>
      </c>
      <c r="C313" s="41" t="n">
        <v>97989.3834814859</v>
      </c>
    </row>
    <row r="314">
      <c r="A314" s="40" t="n">
        <v>46119</v>
      </c>
      <c r="B314" s="41" t="n">
        <v>97593.34</v>
      </c>
      <c r="C314" s="41" t="n">
        <v>98448.73859181581</v>
      </c>
    </row>
    <row r="315">
      <c r="A315" s="40" t="n">
        <v>46120</v>
      </c>
      <c r="B315" s="41" t="n">
        <v>98725.87</v>
      </c>
      <c r="C315" s="41" t="n">
        <v>102293.0066726394</v>
      </c>
    </row>
    <row r="316">
      <c r="A316" s="40" t="n">
        <v>46121</v>
      </c>
      <c r="B316" s="41" t="n">
        <v>98664.07000000001</v>
      </c>
      <c r="C316" s="41" t="n">
        <v>101468.4265033547</v>
      </c>
    </row>
    <row r="317">
      <c r="A317" s="40" t="n">
        <v>46122</v>
      </c>
      <c r="B317" s="41" t="n">
        <v>99055.73</v>
      </c>
      <c r="C317" s="41" t="n">
        <v>102394.6744820348</v>
      </c>
    </row>
    <row r="318">
      <c r="A318" s="40" t="n">
        <v>46125</v>
      </c>
      <c r="B318" s="41" t="n">
        <v>98843.17</v>
      </c>
      <c r="C318" s="41" t="n">
        <v>101479.7216499003</v>
      </c>
    </row>
    <row r="319">
      <c r="A319" s="40" t="n">
        <v>46127</v>
      </c>
      <c r="B319" s="41" t="n">
        <v>99156.28</v>
      </c>
      <c r="C319" s="41" t="n">
        <v>103079.9325232771</v>
      </c>
    </row>
    <row r="320">
      <c r="A320" s="40" t="n">
        <v>46128</v>
      </c>
      <c r="B320" s="41" t="n">
        <v>99124.19</v>
      </c>
      <c r="C320" s="41" t="n">
        <v>103147.7148930356</v>
      </c>
    </row>
    <row r="321">
      <c r="A321" s="40" t="n">
        <v>46129</v>
      </c>
      <c r="B321" s="41" t="n">
        <v>99454.28999999999</v>
      </c>
      <c r="C321" s="41" t="n">
        <v>103870.627252925</v>
      </c>
    </row>
    <row r="322">
      <c r="A322" s="40" t="n">
        <v>46132</v>
      </c>
      <c r="B322" s="41" t="n">
        <v>99613.42999999999</v>
      </c>
      <c r="C322" s="41" t="n">
        <v>103622.1225384365</v>
      </c>
    </row>
    <row r="323">
      <c r="A323" s="40" t="n">
        <v>46133</v>
      </c>
      <c r="B323" s="41" t="n">
        <v>99613.42999999999</v>
      </c>
      <c r="C323" s="41" t="n">
        <v>104533.3064915609</v>
      </c>
    </row>
    <row r="324">
      <c r="A324" s="40" t="n">
        <v>46134</v>
      </c>
      <c r="B324" s="41" t="n">
        <v>99613.42999999999</v>
      </c>
      <c r="C324" s="41" t="n">
        <v>103784.0349595702</v>
      </c>
    </row>
    <row r="325">
      <c r="A325" s="40" t="n">
        <v>46135</v>
      </c>
      <c r="B325" s="41" t="n">
        <v>99613.42999999999</v>
      </c>
      <c r="C325" s="41" t="n">
        <v>103076.1751347518</v>
      </c>
    </row>
    <row r="326">
      <c r="A326" s="40" t="n">
        <v>46136</v>
      </c>
      <c r="B326" s="41" t="n">
        <v>99613.42999999999</v>
      </c>
      <c r="C326" s="41" t="n">
        <v>102070.8611302523</v>
      </c>
    </row>
    <row r="327">
      <c r="A327" s="40" t="n">
        <v>46139</v>
      </c>
      <c r="B327" s="41" t="n">
        <v>99613.42999999999</v>
      </c>
      <c r="C327" s="41" t="n">
        <v>102609.2822664016</v>
      </c>
    </row>
    <row r="328">
      <c r="A328" s="40" t="n">
        <v>46140</v>
      </c>
      <c r="B328" s="41" t="n">
        <v>99613.42999999999</v>
      </c>
      <c r="C328" s="41" t="n">
        <v>102217.7095258302</v>
      </c>
    </row>
    <row r="329">
      <c r="A329" s="40" t="n">
        <v>46141</v>
      </c>
      <c r="B329" s="41" t="n">
        <v>99613.42999999999</v>
      </c>
      <c r="C329" s="41" t="n">
        <v>102838.965566809</v>
      </c>
    </row>
    <row r="330">
      <c r="A330" s="40" t="n">
        <v>46142</v>
      </c>
      <c r="B330" s="41" t="n">
        <v>99613.42999999999</v>
      </c>
      <c r="C330" s="41" t="n">
        <v>102417.2647751261</v>
      </c>
    </row>
    <row r="331">
      <c r="A331" s="40" t="n">
        <v>46146</v>
      </c>
      <c r="B331" s="41" t="n">
        <v>99613.42999999999</v>
      </c>
      <c r="C331" s="41" t="n">
        <v>102835.1966877988</v>
      </c>
    </row>
    <row r="332">
      <c r="A332" s="40" t="n">
        <v>46147</v>
      </c>
      <c r="B332" s="41" t="n">
        <v>99613.42999999999</v>
      </c>
      <c r="C332" s="41" t="n">
        <v>102526.4473615721</v>
      </c>
    </row>
    <row r="333">
      <c r="A333" s="40" t="n">
        <v>46148</v>
      </c>
      <c r="B333" s="41" t="n">
        <v>99613.42999999999</v>
      </c>
      <c r="C333" s="41" t="n">
        <v>103817.920399207</v>
      </c>
    </row>
    <row r="334">
      <c r="A334" s="40" t="n">
        <v>46149</v>
      </c>
      <c r="B334" s="41" t="n">
        <v>99613.42999999999</v>
      </c>
      <c r="C334" s="41" t="n">
        <v>103607.0700033656</v>
      </c>
    </row>
    <row r="335">
      <c r="A335" s="40" t="n">
        <v>46150</v>
      </c>
      <c r="B335" s="41" t="n">
        <v>99613.42999999999</v>
      </c>
      <c r="C335" s="41" t="n">
        <v>103143.9460140255</v>
      </c>
    </row>
    <row r="336">
      <c r="A336" s="40" t="n">
        <v>46153</v>
      </c>
      <c r="B336" s="41" t="n">
        <v>99603.87</v>
      </c>
      <c r="C336" s="41" t="n">
        <v>101698.1098037621</v>
      </c>
    </row>
    <row r="337">
      <c r="A337" s="40" t="n">
        <v>46154</v>
      </c>
      <c r="B337" s="41" t="n">
        <v>99613.69</v>
      </c>
      <c r="C337" s="41" t="n">
        <v>99796.67587169402</v>
      </c>
    </row>
    <row r="338">
      <c r="A338" s="40" t="n">
        <v>46155</v>
      </c>
      <c r="B338" s="41" t="n">
        <v>99569.49000000001</v>
      </c>
      <c r="C338" s="41" t="n">
        <v>99943.52426727189</v>
      </c>
    </row>
    <row r="339">
      <c r="A339" s="40" t="n">
        <v>46156</v>
      </c>
      <c r="B339" s="41" t="n">
        <v>99665.75</v>
      </c>
      <c r="C339" s="41" t="n">
        <v>100941.3005137511</v>
      </c>
    </row>
    <row r="340">
      <c r="A340" s="40" t="n">
        <v>46157</v>
      </c>
      <c r="B340" s="41" t="n">
        <v>99672.25</v>
      </c>
      <c r="C340" s="41" t="n">
        <v>100643.84633407</v>
      </c>
    </row>
    <row r="341">
      <c r="A341" s="40" t="n">
        <v>46160</v>
      </c>
      <c r="B341" s="41" t="n">
        <v>99424.50999999999</v>
      </c>
      <c r="C341" s="41" t="n">
        <v>100749.2715319907</v>
      </c>
    </row>
    <row r="342">
      <c r="A342" s="40" t="n">
        <v>46161</v>
      </c>
      <c r="B342" s="41" t="n">
        <v>99585.85000000001</v>
      </c>
      <c r="C342" s="41" t="n">
        <v>100760.5666785363</v>
      </c>
    </row>
    <row r="343">
      <c r="A343" s="40" t="n">
        <v>46162</v>
      </c>
      <c r="B343" s="41" t="n">
        <v>99649.55</v>
      </c>
      <c r="C343" s="41" t="n">
        <v>100926.2364881953</v>
      </c>
    </row>
    <row r="344">
      <c r="A344" s="40" t="n">
        <v>46163</v>
      </c>
      <c r="B344" s="41" t="n">
        <v>99638.05</v>
      </c>
      <c r="C344" s="41" t="n">
        <v>100986.4810999336</v>
      </c>
    </row>
    <row r="345">
      <c r="A345" s="40" t="n">
        <v>46164</v>
      </c>
      <c r="B345" s="41" t="n">
        <v>99448.60000000001</v>
      </c>
      <c r="C345" s="41" t="n">
        <v>101321.5895982616</v>
      </c>
    </row>
    <row r="346">
      <c r="A346" s="40" t="n">
        <v>46167</v>
      </c>
      <c r="B346" s="41" t="n">
        <v>99687.09</v>
      </c>
      <c r="C346" s="41" t="n">
        <v>102409.7270171058</v>
      </c>
    </row>
    <row r="347">
      <c r="A347" s="40" t="n">
        <v>46168</v>
      </c>
      <c r="B347" s="41" t="n">
        <v>99584.12</v>
      </c>
      <c r="C347" s="41" t="n">
        <v>101972.9621998671</v>
      </c>
    </row>
    <row r="348">
      <c r="A348" s="40" t="n">
        <v>46169</v>
      </c>
      <c r="B348" s="41" t="n">
        <v>99826.75999999999</v>
      </c>
      <c r="C348" s="41" t="n">
        <v>102014.3853975242</v>
      </c>
    </row>
    <row r="349">
      <c r="A349" s="40" t="n">
        <v>46171</v>
      </c>
      <c r="B349" s="41" t="n">
        <v>99467.64999999999</v>
      </c>
      <c r="C349" s="41" t="n">
        <v>100824.5801692847</v>
      </c>
    </row>
    <row r="350">
      <c r="A350" s="40" t="n">
        <v>46174</v>
      </c>
      <c r="B350" s="41" t="n">
        <v>99179.60000000001</v>
      </c>
      <c r="C350" s="41" t="n">
        <v>99973.64082789862</v>
      </c>
    </row>
    <row r="351">
      <c r="A351" s="40" t="n">
        <v>46175</v>
      </c>
      <c r="B351" s="41" t="n">
        <v>99091.53</v>
      </c>
      <c r="C351" s="41" t="n">
        <v>100161.9009306488</v>
      </c>
    </row>
    <row r="352">
      <c r="A352" s="40" t="n">
        <v>46176</v>
      </c>
      <c r="B352" s="41" t="n">
        <v>99408.23</v>
      </c>
      <c r="C352" s="41" t="n">
        <v>99984.93597444425</v>
      </c>
    </row>
    <row r="353">
      <c r="A353" s="40" t="n">
        <v>46177</v>
      </c>
      <c r="B353" s="41" t="n">
        <v>99463.39999999999</v>
      </c>
      <c r="C353" s="41" t="n">
        <v>100003.7688790102</v>
      </c>
    </row>
    <row r="354">
      <c r="A354" s="40" t="n">
        <v>46178</v>
      </c>
      <c r="B354" s="41" t="n">
        <v>99252.35000000001</v>
      </c>
      <c r="C354" s="41" t="n">
        <v>99913.39621616037</v>
      </c>
    </row>
    <row r="355">
      <c r="A355" s="40" t="n">
        <v>46181</v>
      </c>
      <c r="B355" s="41" t="n">
        <v>99463.94</v>
      </c>
      <c r="C355" s="41" t="n">
        <v>98859.1442369531</v>
      </c>
    </row>
    <row r="356">
      <c r="A356" s="40" t="n">
        <v>46182</v>
      </c>
      <c r="B356" s="41" t="n">
        <v>99136.63</v>
      </c>
      <c r="C356" s="41" t="n">
        <v>99356.15366593002</v>
      </c>
    </row>
    <row r="357">
      <c r="A357" s="40" t="n">
        <v>46183</v>
      </c>
      <c r="B357" s="41" t="n">
        <v>98817.47</v>
      </c>
      <c r="C357" s="41" t="n">
        <v>99054.9306072388</v>
      </c>
    </row>
    <row r="358">
      <c r="A358" s="40" t="n">
        <v>46184</v>
      </c>
      <c r="B358" s="41" t="n">
        <v>98820.83</v>
      </c>
      <c r="C358" s="41" t="n">
        <v>98885.50340905448</v>
      </c>
    </row>
    <row r="359">
      <c r="A359" s="40" t="n">
        <v>46185</v>
      </c>
      <c r="B359" s="41" t="n">
        <v>98774.03</v>
      </c>
      <c r="C359" s="41" t="n">
        <v>100854.6967299114</v>
      </c>
    </row>
    <row r="360">
      <c r="A360" s="40" t="n">
        <v>46188</v>
      </c>
      <c r="B360" s="41" t="n">
        <v>98525.72</v>
      </c>
      <c r="C360" s="41" t="n">
        <v>101897.6650530579</v>
      </c>
    </row>
    <row r="361">
      <c r="A361" s="40" t="n">
        <v>46189</v>
      </c>
      <c r="B361" s="41" t="n">
        <v>98800.50999999999</v>
      </c>
      <c r="C361" s="41" t="n">
        <v>102289.2492841141</v>
      </c>
    </row>
    <row r="362">
      <c r="A362" s="40" t="n">
        <v>46190</v>
      </c>
      <c r="B362" s="41" t="n">
        <v>99126.21000000001</v>
      </c>
      <c r="C362" s="41" t="n">
        <v>102831.4278087887</v>
      </c>
    </row>
    <row r="363">
      <c r="A363" s="40" t="n">
        <v>46191</v>
      </c>
      <c r="B363" s="41" t="n">
        <v>99466.87</v>
      </c>
      <c r="C363" s="41" t="n">
        <v>103155.2411605711</v>
      </c>
    </row>
    <row r="364">
      <c r="A364" s="40" t="n">
        <v>46192</v>
      </c>
      <c r="B364" s="41" t="n">
        <v>99658.24000000001</v>
      </c>
      <c r="C364" s="41" t="n">
        <v>102771.1946875352</v>
      </c>
    </row>
    <row r="365">
      <c r="A365" s="40" t="n">
        <v>46195</v>
      </c>
      <c r="B365" s="41" t="n">
        <v>99622.32000000001</v>
      </c>
      <c r="C365" s="41" t="n">
        <v>103042.2896951149</v>
      </c>
    </row>
    <row r="366">
      <c r="A366" s="40" t="n">
        <v>46196</v>
      </c>
      <c r="B366" s="41" t="n">
        <v>99045.53999999999</v>
      </c>
      <c r="C366" s="41" t="n">
        <v>101965.4359323316</v>
      </c>
    </row>
    <row r="367">
      <c r="A367" s="40" t="n">
        <v>46197</v>
      </c>
      <c r="B367" s="41" t="n">
        <v>98377.63</v>
      </c>
      <c r="C367" s="41" t="n">
        <v>102669.5268781398</v>
      </c>
    </row>
    <row r="368">
      <c r="A368" s="40" t="n">
        <v>46198</v>
      </c>
      <c r="B368" s="41" t="n">
        <v>97648.73</v>
      </c>
      <c r="C368" s="41" t="n">
        <v>102951.9170322652</v>
      </c>
    </row>
    <row r="369">
      <c r="A369" s="40" t="n">
        <v>46202</v>
      </c>
      <c r="B369" s="41" t="n">
        <v>98185.14999999999</v>
      </c>
      <c r="C369" s="41" t="n">
        <v>102473.7405078541</v>
      </c>
    </row>
    <row r="370">
      <c r="A370" s="40" t="n">
        <v>46203</v>
      </c>
      <c r="B370" s="41" t="n">
        <v>97930.00999999999</v>
      </c>
      <c r="C370" s="41" t="n">
        <v>102345.7250168422</v>
      </c>
    </row>
    <row r="371">
      <c r="A371" s="40" t="n">
        <v>46204</v>
      </c>
      <c r="B371" s="41" t="n">
        <v>97589.97</v>
      </c>
      <c r="C371" s="41" t="n">
        <v>102741.0666364237</v>
      </c>
    </row>
    <row r="372">
      <c r="A372" s="40" t="n">
        <v>46205</v>
      </c>
      <c r="B372" s="41" t="n">
        <v>97989.60000000001</v>
      </c>
      <c r="C372" s="41" t="n">
        <v>103268.1926260274</v>
      </c>
    </row>
    <row r="373">
      <c r="A373" s="40" t="n">
        <v>46206</v>
      </c>
      <c r="B373" s="41" t="n">
        <v>98122.94</v>
      </c>
      <c r="C373" s="41" t="n">
        <v>103885.6912784808</v>
      </c>
    </row>
    <row r="374">
      <c r="A374" s="40" t="n">
        <v>46209</v>
      </c>
      <c r="B374" s="41" t="n">
        <v>98328.48</v>
      </c>
      <c r="C374" s="41" t="n">
        <v>104457.9978542669</v>
      </c>
    </row>
    <row r="375">
      <c r="A375" s="40" t="n">
        <v>46210</v>
      </c>
      <c r="B375" s="41" t="n">
        <v>98086.31</v>
      </c>
      <c r="C375" s="41" t="n">
        <v>104314.9183376991</v>
      </c>
    </row>
    <row r="376">
      <c r="A376" s="40" t="n">
        <v>46211</v>
      </c>
      <c r="B376" s="41" t="n">
        <v>97515.49000000001</v>
      </c>
      <c r="C376" s="41" t="n">
        <v>102296.7755516496</v>
      </c>
    </row>
    <row r="377">
      <c r="A377" s="40" t="n">
        <v>46212</v>
      </c>
      <c r="B377" s="41" t="n">
        <v>97408.67999999999</v>
      </c>
      <c r="C377" s="41" t="n">
        <v>102699.6549292514</v>
      </c>
    </row>
    <row r="378">
      <c r="A378" s="40" t="n">
        <v>46213</v>
      </c>
      <c r="B378" s="41" t="n">
        <v>97886.8</v>
      </c>
      <c r="C378" s="41" t="n">
        <v>103569.4156847186</v>
      </c>
    </row>
    <row r="379">
      <c r="A379" s="40" t="n">
        <v>46216</v>
      </c>
      <c r="B379" s="41" t="n">
        <v>97919.67</v>
      </c>
      <c r="C379" s="41" t="n">
        <v>103656.0079780734</v>
      </c>
    </row>
    <row r="380">
      <c r="A380" s="40" t="n">
        <v>46217</v>
      </c>
      <c r="B380" s="41" t="n">
        <v>98051.91</v>
      </c>
      <c r="C380" s="41" t="n">
        <v>102921.8004716384</v>
      </c>
    </row>
    <row r="381">
      <c r="A381" s="40" t="n">
        <v>46218</v>
      </c>
      <c r="B381" s="41" t="n">
        <v>97204.11</v>
      </c>
      <c r="C381" s="41" t="n">
        <v>103038.5208161048</v>
      </c>
    </row>
    <row r="382">
      <c r="A382" s="40" t="n">
        <v>46219</v>
      </c>
      <c r="B382" s="41" t="n">
        <v>97150.00999999999</v>
      </c>
      <c r="C382" s="41" t="n">
        <v>103162.7674281066</v>
      </c>
    </row>
    <row r="383">
      <c r="A383" s="40" t="n">
        <v>46220</v>
      </c>
      <c r="B383" s="41" t="n">
        <v>97224.12</v>
      </c>
      <c r="C383" s="41" t="n">
        <v>104092.7727953121</v>
      </c>
    </row>
    <row r="384">
      <c r="A384" s="40" t="n">
        <v>46223</v>
      </c>
      <c r="B384" s="41" t="n">
        <v>97927.34</v>
      </c>
      <c r="C384" s="41" t="n">
        <v>103761.4331759941</v>
      </c>
    </row>
    <row r="385">
      <c r="A385" s="40" t="n">
        <v>46224</v>
      </c>
      <c r="B385" s="41" t="n">
        <v>98137.31</v>
      </c>
      <c r="C385" s="41" t="n">
        <v>103592.0059778098</v>
      </c>
    </row>
    <row r="386">
      <c r="A386" s="40" t="n">
        <v>46225</v>
      </c>
      <c r="B386" s="41" t="n">
        <v>98100.60000000001</v>
      </c>
      <c r="C386" s="41" t="n">
        <v>102925.5578601638</v>
      </c>
    </row>
    <row r="387">
      <c r="A387" s="40" t="n">
        <v>46226</v>
      </c>
      <c r="B387" s="41" t="n">
        <v>97872.42999999999</v>
      </c>
      <c r="C387" s="41" t="n">
        <v>102405.9696285804</v>
      </c>
    </row>
    <row r="388">
      <c r="A388" s="40" t="n">
        <v>46227</v>
      </c>
      <c r="B388" s="41" t="n">
        <v>97524.89</v>
      </c>
      <c r="C388" s="41" t="n">
        <v>102116.0417164348</v>
      </c>
    </row>
    <row r="389">
      <c r="A389" s="40" t="n">
        <v>46230</v>
      </c>
      <c r="B389" s="41" t="n">
        <v>97722.24000000001</v>
      </c>
      <c r="C389" s="41" t="n">
        <v>103012.1616440034</v>
      </c>
    </row>
    <row r="390">
      <c r="A390" s="40" t="n">
        <v>46231</v>
      </c>
      <c r="B390" s="41" t="n">
        <v>96717.86</v>
      </c>
      <c r="C390" s="41" t="n">
        <v>102989.5713509122</v>
      </c>
    </row>
    <row r="391">
      <c r="A391" s="40" t="n">
        <v>46232</v>
      </c>
      <c r="B391" s="41" t="n">
        <v>97279.66</v>
      </c>
      <c r="C391" s="41" t="n">
        <v>103851.8058388439</v>
      </c>
    </row>
    <row r="392">
      <c r="A392" s="40" t="n">
        <v>46233</v>
      </c>
      <c r="B392" s="41" t="n">
        <v>97324.42</v>
      </c>
      <c r="C392" s="41" t="n">
        <v>104104.0679418577</v>
      </c>
    </row>
    <row r="393">
      <c r="A393" s="40" t="n">
        <v>46234</v>
      </c>
      <c r="B393" s="41" t="n">
        <v>97966.92999999999</v>
      </c>
      <c r="C393" s="41" t="n">
        <v>104454.2404657415</v>
      </c>
    </row>
    <row r="394">
      <c r="A394" s="40" t="n">
        <v>46237</v>
      </c>
      <c r="B394" s="41" t="n">
        <v>98345.05</v>
      </c>
      <c r="C394" s="41" t="n">
        <v>105376.7080749267</v>
      </c>
    </row>
    <row r="395">
      <c r="A395" s="40" t="n">
        <v>46238</v>
      </c>
      <c r="B395" s="41" t="n">
        <v>98420.7</v>
      </c>
      <c r="C395" s="41" t="n">
        <v>104970.0713087995</v>
      </c>
    </row>
    <row r="396">
      <c r="A396" s="40" t="n">
        <v>46239</v>
      </c>
      <c r="B396" s="41" t="n">
        <v>98389.53</v>
      </c>
      <c r="C396" s="41" t="n">
        <v>105410.5935145636</v>
      </c>
    </row>
    <row r="397">
      <c r="A397" s="40" t="n">
        <v>46240</v>
      </c>
      <c r="B397" s="41" t="n">
        <v>97490.8</v>
      </c>
      <c r="C397" s="41" t="n">
        <v>105647.8030825064</v>
      </c>
    </row>
    <row r="398">
      <c r="A398" s="40" t="n">
        <v>46241</v>
      </c>
      <c r="B398" s="41" t="n">
        <v>97393.53</v>
      </c>
      <c r="C398" s="41" t="n">
        <v>105361.6440493709</v>
      </c>
    </row>
    <row r="399">
      <c r="A399" s="40" t="n">
        <v>46244</v>
      </c>
      <c r="B399" s="41" t="n">
        <v>97547.17</v>
      </c>
      <c r="C399" s="41" t="n">
        <v>105598.8536173138</v>
      </c>
    </row>
    <row r="400">
      <c r="A400" s="40" t="n">
        <v>46245</v>
      </c>
      <c r="B400" s="41" t="n">
        <v>97268.77</v>
      </c>
      <c r="C400" s="41" t="n">
        <v>105098.0867998115</v>
      </c>
    </row>
    <row r="401">
      <c r="A401" s="40" t="n">
        <v>46246</v>
      </c>
      <c r="B401" s="41" t="n">
        <v>96949.28999999999</v>
      </c>
      <c r="C401" s="41" t="n">
        <v>104793.106352595</v>
      </c>
    </row>
    <row r="402">
      <c r="A402" s="40" t="n">
        <v>46247</v>
      </c>
      <c r="B402" s="41" t="n">
        <v>96952.67</v>
      </c>
      <c r="C402" s="41" t="n">
        <v>104732.8617408567</v>
      </c>
    </row>
    <row r="403">
      <c r="A403" s="40" t="n">
        <v>46248</v>
      </c>
      <c r="B403" s="41" t="n">
        <v>96796.17999999999</v>
      </c>
      <c r="C403" s="41" t="n">
        <v>104804.4014991406</v>
      </c>
    </row>
    <row r="404">
      <c r="A404" s="40" t="n">
        <v>46251</v>
      </c>
      <c r="B404" s="41" t="n">
        <v>96595.38</v>
      </c>
      <c r="C404" s="41" t="n">
        <v>104638.7316894816</v>
      </c>
    </row>
    <row r="405">
      <c r="A405" s="40" t="n">
        <v>46252</v>
      </c>
      <c r="B405" s="41" t="n">
        <v>96439</v>
      </c>
      <c r="C405" s="41" t="n">
        <v>103957.2310367646</v>
      </c>
    </row>
    <row r="406">
      <c r="A406" s="40" t="n">
        <v>46253</v>
      </c>
      <c r="B406" s="41" t="n">
        <v>96409.41</v>
      </c>
      <c r="C406" s="41" t="n">
        <v>103399.9769960495</v>
      </c>
    </row>
    <row r="407">
      <c r="A407" s="40" t="n">
        <v>46254</v>
      </c>
      <c r="B407" s="41" t="n">
        <v>96432.78999999999</v>
      </c>
      <c r="C407" s="41" t="n">
        <v>104134.1959929692</v>
      </c>
    </row>
    <row r="408">
      <c r="A408" s="40" t="n">
        <v>46255</v>
      </c>
      <c r="B408" s="41" t="n">
        <v>96403.82000000001</v>
      </c>
      <c r="C408" s="41" t="n">
        <v>104205.7357512531</v>
      </c>
    </row>
    <row r="409">
      <c r="A409" s="40" t="n">
        <v>46258</v>
      </c>
      <c r="B409" s="41" t="n">
        <v>96490.89999999999</v>
      </c>
      <c r="C409" s="41" t="n">
        <v>103870.627252925</v>
      </c>
    </row>
    <row r="410">
      <c r="A410" s="40" t="n">
        <v>46259</v>
      </c>
      <c r="B410" s="41" t="n">
        <v>96682.25</v>
      </c>
      <c r="C410" s="41" t="n">
        <v>104273.5066305268</v>
      </c>
    </row>
    <row r="411">
      <c r="A411" s="40" t="n">
        <v>46260</v>
      </c>
      <c r="B411" s="41" t="n">
        <v>96416.14999999999</v>
      </c>
      <c r="C411" s="41" t="n">
        <v>104303.6231911535</v>
      </c>
    </row>
    <row r="412">
      <c r="A412" s="40" t="n">
        <v>46261</v>
      </c>
      <c r="B412" s="41" t="n">
        <v>96347.03999999999</v>
      </c>
      <c r="C412" s="41" t="n">
        <v>103821.6777877324</v>
      </c>
    </row>
    <row r="413">
      <c r="A413" s="40" t="n">
        <v>46262</v>
      </c>
      <c r="B413" s="41" t="n">
        <v>96354.75999999999</v>
      </c>
      <c r="C413" s="41" t="n">
        <v>103776.4972015499</v>
      </c>
    </row>
    <row r="414">
      <c r="A414" s="40" t="n">
        <v>46265</v>
      </c>
      <c r="B414" s="41" t="n">
        <v>95925.99000000001</v>
      </c>
      <c r="C414" s="41" t="n">
        <v>103494.1070474246</v>
      </c>
    </row>
    <row r="415">
      <c r="A415" s="40" t="n">
        <v>46266</v>
      </c>
      <c r="B415" s="41" t="n">
        <v>96180.73</v>
      </c>
      <c r="C415" s="41" t="n">
        <v>102884.1461529914</v>
      </c>
    </row>
    <row r="416">
      <c r="A416" s="40" t="n">
        <v>46267</v>
      </c>
      <c r="B416" s="41" t="n">
        <v>96648.75999999999</v>
      </c>
      <c r="C416" s="41" t="n">
        <v>102624.3462919574</v>
      </c>
    </row>
    <row r="417">
      <c r="A417" s="40" t="n">
        <v>46268</v>
      </c>
      <c r="B417" s="41" t="n">
        <v>96873.92999999999</v>
      </c>
      <c r="C417" s="41" t="n">
        <v>102650.7054640587</v>
      </c>
    </row>
    <row r="418">
      <c r="A418" s="40" t="n">
        <v>46269</v>
      </c>
      <c r="B418" s="41" t="n">
        <v>97107.42999999999</v>
      </c>
      <c r="C418" s="41" t="n">
        <v>102891.6724205269</v>
      </c>
    </row>
    <row r="419">
      <c r="A419" s="40" t="n">
        <v>46272</v>
      </c>
      <c r="B419" s="41" t="n">
        <v>96883.42999999999</v>
      </c>
      <c r="C419" s="41" t="n">
        <v>102116.0417164348</v>
      </c>
    </row>
    <row r="420">
      <c r="A420" s="40" t="n">
        <v>46273</v>
      </c>
      <c r="B420" s="41" t="n">
        <v>96888.92999999999</v>
      </c>
      <c r="C420" s="41" t="n">
        <v>101679.2768991962</v>
      </c>
    </row>
    <row r="421">
      <c r="A421" s="40" t="n">
        <v>46274</v>
      </c>
      <c r="B421" s="41" t="n">
        <v>97417.64999999999</v>
      </c>
      <c r="C421" s="41" t="n">
        <v>100963.8908068423</v>
      </c>
    </row>
    <row r="422">
      <c r="A422" s="40" t="n">
        <v>46275</v>
      </c>
      <c r="B422" s="41" t="n">
        <v>97385.14999999999</v>
      </c>
      <c r="C422" s="41" t="n">
        <v>100594.9083593622</v>
      </c>
    </row>
    <row r="423">
      <c r="A423" s="40" t="n">
        <v>46276</v>
      </c>
      <c r="B423" s="41" t="n">
        <v>97253.22</v>
      </c>
      <c r="C423" s="41" t="n">
        <v>100583.6132128165</v>
      </c>
    </row>
    <row r="424">
      <c r="A424" s="40" t="n">
        <v>46280</v>
      </c>
      <c r="B424" s="41" t="n">
        <v>97273.17999999999</v>
      </c>
      <c r="C424" s="41" t="n">
        <v>99619.71091548943</v>
      </c>
    </row>
    <row r="425">
      <c r="A425" s="40" t="n">
        <v>46281</v>
      </c>
      <c r="B425" s="41" t="n">
        <v>97685.38</v>
      </c>
      <c r="C425" s="41" t="n">
        <v>99785.38072514841</v>
      </c>
    </row>
    <row r="426">
      <c r="A426" s="40" t="n">
        <v>46282</v>
      </c>
      <c r="B426" s="41" t="n">
        <v>97902.32000000001</v>
      </c>
      <c r="C426" s="41" t="n">
        <v>100184.4912237401</v>
      </c>
    </row>
    <row r="427">
      <c r="A427" s="40" t="n">
        <v>46283</v>
      </c>
      <c r="B427" s="41" t="n">
        <v>98145.72</v>
      </c>
      <c r="C427" s="41" t="n">
        <v>100353.9299124092</v>
      </c>
    </row>
    <row r="428">
      <c r="A428" s="40" t="n">
        <v>46286</v>
      </c>
      <c r="B428" s="41" t="n">
        <v>98260.72</v>
      </c>
      <c r="C428" s="41" t="n">
        <v>100817.0539017492</v>
      </c>
    </row>
    <row r="429">
      <c r="A429" s="40" t="n">
        <v>46287</v>
      </c>
      <c r="B429" s="41" t="n">
        <v>97907.92</v>
      </c>
      <c r="C429" s="41" t="n">
        <v>100395.3531100663</v>
      </c>
    </row>
    <row r="430">
      <c r="A430" s="40" t="n">
        <v>46288</v>
      </c>
      <c r="B430" s="41" t="n">
        <v>98891.41</v>
      </c>
      <c r="C430" s="41" t="n">
        <v>100753.0404110009</v>
      </c>
    </row>
    <row r="431">
      <c r="A431" s="40" t="n">
        <v>46289</v>
      </c>
      <c r="B431" s="41" t="n">
        <v>97455.71000000001</v>
      </c>
      <c r="C431" s="41" t="n">
        <v>99397.56537310236</v>
      </c>
    </row>
    <row r="432">
      <c r="A432" s="40" t="n">
        <v>46290</v>
      </c>
      <c r="B432" s="41" t="n">
        <v>97775.91</v>
      </c>
      <c r="C432" s="41" t="n">
        <v>99450.28371730512</v>
      </c>
    </row>
    <row r="433">
      <c r="A433" s="40" t="n">
        <v>46293</v>
      </c>
      <c r="B433" s="41" t="n">
        <v>96805.41</v>
      </c>
      <c r="C433" s="41" t="n">
        <v>98072.21838631538</v>
      </c>
    </row>
    <row r="434">
      <c r="A434" s="40" t="n">
        <v>46294</v>
      </c>
      <c r="B434" s="41" t="n">
        <v>96487.50999999999</v>
      </c>
      <c r="C434" s="41" t="n">
        <v>97695.69818081496</v>
      </c>
    </row>
    <row r="435">
      <c r="A435" s="40" t="n">
        <v>46295</v>
      </c>
      <c r="B435" s="41" t="n">
        <v>95801.66</v>
      </c>
      <c r="C435" s="41" t="n">
        <v>97330.47312186015</v>
      </c>
    </row>
    <row r="436">
      <c r="A436" s="40" t="n">
        <v>46296</v>
      </c>
      <c r="B436" s="41" t="n">
        <v>94173.66</v>
      </c>
      <c r="C436" s="41" t="n">
        <v>96577.4327108593</v>
      </c>
    </row>
    <row r="437">
      <c r="A437" s="40" t="n">
        <v>46300</v>
      </c>
      <c r="B437" s="41" t="n">
        <v>94704.86</v>
      </c>
      <c r="C437" s="41" t="n">
        <v>96874.88689054038</v>
      </c>
    </row>
    <row r="438">
      <c r="A438" s="40" t="n">
        <v>46301</v>
      </c>
      <c r="B438" s="41" t="n">
        <v>94966.50999999999</v>
      </c>
      <c r="C438" s="41" t="n">
        <v>97477.32151743802</v>
      </c>
    </row>
    <row r="439">
      <c r="A439" s="40" t="n">
        <v>46302</v>
      </c>
      <c r="B439" s="41" t="n">
        <v>93972.11</v>
      </c>
      <c r="C439" s="41" t="n">
        <v>96987.83835599659</v>
      </c>
    </row>
    <row r="440">
      <c r="A440" s="40" t="n">
        <v>46303</v>
      </c>
      <c r="B440" s="41" t="n">
        <v>92697.55</v>
      </c>
      <c r="C440" s="41" t="n">
        <v>95545.76527950088</v>
      </c>
    </row>
    <row r="441">
      <c r="A441" s="40" t="n">
        <v>46304</v>
      </c>
      <c r="B441" s="41" t="n">
        <v>93631.89999999999</v>
      </c>
      <c r="C441" s="41" t="n">
        <v>96897.47718363162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2026-10-11T20:10:25Z</dcterms:created>
  <dcterms:modified xmlns:dcterms="http://purl.org/dc/terms/" xmlns:xsi="http://www.w3.org/2001/XMLSchema-instance" xsi:type="dcterms:W3CDTF">2026-10-11T20:10:26Z</dcterms:modified>
</cp:coreProperties>
</file>