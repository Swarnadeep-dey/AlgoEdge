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_Screener" sheetId="1" state="visible" r:id="rId1"/>
    <sheet xmlns:r="http://schemas.openxmlformats.org/officeDocument/2006/relationships" name="RSI Chart" sheetId="2" state="visible" r:id="rId2"/>
  </sheets>
  <definedNames>
    <definedName name="_xlnm._FilterDatabase" localSheetId="0" hidden="1">'Market_Screener'!$A$8:$J$58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₹-en-IN]#,##0.00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1F4E78"/>
      <sz val="22"/>
    </font>
    <font>
      <name val="Arial"/>
      <color rgb="006B6A66"/>
      <sz val="10"/>
    </font>
    <font>
      <name val="Arial"/>
      <b val="1"/>
      <color rgb="00FFFFFF"/>
      <sz val="10"/>
    </font>
    <font>
      <name val="Arial"/>
      <b val="1"/>
      <color rgb="001A1A19"/>
      <sz val="10"/>
    </font>
    <font>
      <name val="Arial"/>
      <color rgb="001A1A19"/>
      <sz val="10"/>
    </font>
    <font>
      <name val="Arial"/>
      <color rgb="00006100"/>
      <sz val="10"/>
    </font>
    <font>
      <name val="Arial"/>
      <color rgb="009C0006"/>
      <sz val="10"/>
    </font>
    <font>
      <name val="Arial"/>
      <color rgb="006B6A66"/>
      <sz val="9"/>
    </font>
    <font>
      <name val="Arial"/>
      <b val="1"/>
      <color rgb="001A1A19"/>
      <sz val="18"/>
    </font>
    <font>
      <name val="Arial"/>
      <color rgb="000000FF"/>
      <sz val="10"/>
    </font>
    <font>
      <name val="Arial"/>
      <i val="1"/>
      <color rgb="006B6A66"/>
      <sz val="9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A9D08E"/>
        <bgColor rgb="00A9D08E"/>
      </patternFill>
    </fill>
    <fill>
      <patternFill patternType="solid">
        <fgColor rgb="00FFE699"/>
        <bgColor rgb="00FFE699"/>
      </patternFill>
    </fill>
    <fill>
      <patternFill patternType="solid">
        <fgColor rgb="00F4B084"/>
        <bgColor rgb="00F4B084"/>
      </patternFill>
    </fill>
    <fill>
      <patternFill patternType="solid">
        <fgColor rgb="00F3F5F8"/>
        <bgColor rgb="00F3F5F8"/>
      </patternFill>
    </fill>
  </fills>
  <borders count="9">
    <border>
      <left/>
      <right/>
      <top/>
      <bottom/>
      <diagonal/>
    </border>
    <border>
      <left style="thin">
        <color rgb="00D4D8DE"/>
      </left>
      <right style="thin">
        <color rgb="00D4D8DE"/>
      </right>
      <top style="thin">
        <color rgb="00D4D8DE"/>
      </top>
      <bottom style="thin">
        <color rgb="00D4D8DE"/>
      </bottom>
    </border>
    <border>
      <left style="thin">
        <color rgb="00D4D8DE"/>
      </left>
      <right style="thin">
        <color rgb="00D4D8DE"/>
      </right>
      <top style="thin">
        <color rgb="00D4D8DE"/>
      </top>
    </border>
    <border>
      <left/>
      <right/>
      <top style="thin">
        <color rgb="00D4D8DE"/>
      </top>
      <bottom/>
      <diagonal/>
    </border>
    <border>
      <left/>
      <right style="thin">
        <color rgb="00D4D8DE"/>
      </right>
      <top style="thin">
        <color rgb="00D4D8DE"/>
      </top>
      <bottom/>
      <diagonal/>
    </border>
    <border>
      <left style="thin">
        <color rgb="00D4D8DE"/>
      </left>
      <right style="thin">
        <color rgb="00D4D8DE"/>
      </right>
    </border>
    <border>
      <left/>
      <right style="thin">
        <color rgb="00D4D8DE"/>
      </right>
      <top/>
      <bottom/>
      <diagonal/>
    </border>
    <border>
      <left style="thin">
        <color rgb="00D4D8DE"/>
      </left>
      <right style="thin">
        <color rgb="00D4D8DE"/>
      </right>
      <bottom style="thin">
        <color rgb="00D4D8DE"/>
      </bottom>
    </border>
    <border>
      <left/>
      <right style="thin">
        <color rgb="00D4D8DE"/>
      </right>
      <top/>
      <bottom style="thin">
        <color rgb="00D4D8DE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8" borderId="2" applyAlignment="1" pivotButton="0" quotePrefix="0" xfId="0">
      <alignment horizontal="center" vertical="center"/>
    </xf>
    <xf numFmtId="0" fontId="0" fillId="0" borderId="4" pivotButton="0" quotePrefix="0" xfId="0"/>
    <xf numFmtId="1" fontId="9" fillId="8" borderId="5" applyAlignment="1" pivotButton="0" quotePrefix="0" xfId="0">
      <alignment horizontal="center" vertical="center"/>
    </xf>
    <xf numFmtId="0" fontId="0" fillId="0" borderId="6" pivotButton="0" quotePrefix="0" xfId="0"/>
    <xf numFmtId="165" fontId="9" fillId="8" borderId="5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0" fillId="0" borderId="8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6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0" pivotButton="0" quotePrefix="0" xfId="0"/>
    <xf numFmtId="165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RSI (14) by stock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'RSI Chart'!C6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'RSI Chart'!$A$7:$A$56</f>
            </numRef>
          </cat>
          <val>
            <numRef>
              <f>'RSI Chart'!$C$7:$C$56</f>
            </numRef>
          </val>
        </ser>
        <ser>
          <idx val="1"/>
          <order val="1"/>
          <tx>
            <strRef>
              <f>'RSI Chart'!D6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'RSI Chart'!$A$7:$A$56</f>
            </numRef>
          </cat>
          <val>
            <numRef>
              <f>'RSI Chart'!$D$7:$D$56</f>
            </numRef>
          </val>
        </ser>
        <gapWidth val="40"/>
        <overlap val="100"/>
        <axId val="10"/>
        <axId val="100"/>
      </barChart>
      <lineChart>
        <grouping val="standard"/>
        <ser>
          <idx val="2"/>
          <order val="2"/>
          <tx>
            <strRef>
              <f>'RSI Chart'!E6</f>
            </strRef>
          </tx>
          <spPr>
            <a:ln xmlns:a="http://schemas.openxmlformats.org/drawingml/2006/main" w="15000">
              <a:solidFill>
                <a:srgbClr val="6B6A6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'RSI Chart'!$E$7:$E$56</f>
            </numRef>
          </val>
          <smooth val="0"/>
        </ser>
        <ser>
          <idx val="3"/>
          <order val="3"/>
          <tx>
            <strRef>
              <f>'RSI Chart'!F6</f>
            </strRef>
          </tx>
          <spPr>
            <a:ln xmlns:a="http://schemas.openxmlformats.org/drawingml/2006/main" w="15000">
              <a:solidFill>
                <a:srgbClr val="6B6A66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'RSI Chart'!$F$7:$F$56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115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12" customWidth="1" min="5" max="5"/>
    <col width="14" customWidth="1" min="6" max="6"/>
    <col width="13" customWidth="1" min="7" max="7"/>
    <col width="14" customWidth="1" min="8" max="8"/>
    <col width="14" customWidth="1" min="9" max="9"/>
    <col width="15" customWidth="1" min="10" max="10"/>
  </cols>
  <sheetData>
    <row r="1" ht="34" customHeight="1">
      <c r="A1" s="1" t="inlineStr">
        <is>
          <t>AlgoEdge Daily Screener</t>
        </is>
      </c>
    </row>
    <row r="2" ht="18" customHeight="1">
      <c r="A2" s="2" t="inlineStr">
        <is>
          <t>NIFTY 50  |  Generated 12 Oct 2026, 01:39 AM  |  Entry rule: RSI &lt; 35</t>
        </is>
      </c>
    </row>
    <row r="4" ht="17" customHeight="1">
      <c r="A4" s="3" t="inlineStr">
        <is>
          <t>Stocks scanned</t>
        </is>
      </c>
      <c r="B4" s="4" t="n"/>
      <c r="C4" s="3" t="inlineStr">
        <is>
          <t>Oversold (RSI &lt; 35)</t>
        </is>
      </c>
      <c r="D4" s="4" t="n"/>
      <c r="E4" s="3" t="inlineStr">
        <is>
          <t>Strong signals (score &gt;= 2)</t>
        </is>
      </c>
      <c r="F4" s="4" t="n"/>
      <c r="G4" s="3" t="inlineStr">
        <is>
          <t>Average RSI</t>
        </is>
      </c>
      <c r="H4" s="4" t="n"/>
      <c r="I4" s="3" t="inlineStr">
        <is>
          <t>Lowest RSI</t>
        </is>
      </c>
      <c r="J4" s="4" t="n"/>
    </row>
    <row r="5" ht="32" customHeight="1">
      <c r="A5" s="5">
        <f>COUNTA(A9:A58)</f>
        <v/>
      </c>
      <c r="B5" s="6" t="n"/>
      <c r="C5" s="5">
        <f>COUNTIF(H9:H58,TRUE)</f>
        <v/>
      </c>
      <c r="D5" s="6" t="n"/>
      <c r="E5" s="5">
        <f>COUNTIF(J9:J58,"&gt;=2")</f>
        <v/>
      </c>
      <c r="F5" s="6" t="n"/>
      <c r="G5" s="7">
        <f>AVERAGE(D9:D58)</f>
        <v/>
      </c>
      <c r="H5" s="6" t="n"/>
      <c r="I5" s="7">
        <f>MIN(D9:D58)</f>
        <v/>
      </c>
      <c r="J5" s="6" t="n"/>
    </row>
    <row r="6" ht="17" customHeight="1">
      <c r="A6" s="8" t="inlineStr">
        <is>
          <t>in the watchlist</t>
        </is>
      </c>
      <c r="B6" s="9" t="n"/>
      <c r="C6" s="8" t="inlineStr">
        <is>
          <t>meet the backtest entry rule</t>
        </is>
      </c>
      <c r="D6" s="9" t="n"/>
      <c r="E6" s="8" t="inlineStr">
        <is>
          <t>of 3 conditions met</t>
        </is>
      </c>
      <c r="F6" s="9" t="n"/>
      <c r="G6" s="8" t="inlineStr">
        <is>
          <t>across the universe</t>
        </is>
      </c>
      <c r="H6" s="9" t="n"/>
      <c r="I6" s="8">
        <f>INDEX(A9:A58,MATCH(MIN(D9:D58),D9:D58,0))</f>
        <v/>
      </c>
      <c r="J6" s="9" t="n"/>
    </row>
    <row r="7" ht="10" customHeight="1"/>
    <row r="8" ht="30" customHeight="1">
      <c r="A8" s="10" t="inlineStr">
        <is>
          <t>Ticker</t>
        </is>
      </c>
      <c r="B8" s="10" t="inlineStr">
        <is>
          <t>LTP (₹)</t>
        </is>
      </c>
      <c r="C8" s="10" t="inlineStr">
        <is>
          <t>20-Day SMA (₹)</t>
        </is>
      </c>
      <c r="D8" s="10" t="inlineStr">
        <is>
          <t>RSI (14)</t>
        </is>
      </c>
      <c r="E8" s="10" t="inlineStr">
        <is>
          <t>MACD</t>
        </is>
      </c>
      <c r="F8" s="10" t="inlineStr">
        <is>
          <t>MACD Signal</t>
        </is>
      </c>
      <c r="G8" s="10" t="inlineStr">
        <is>
          <t>Price &gt; SMA</t>
        </is>
      </c>
      <c r="H8" s="10" t="inlineStr">
        <is>
          <t>RSI Oversold</t>
        </is>
      </c>
      <c r="I8" s="10" t="inlineStr">
        <is>
          <t>MACD Bullish</t>
        </is>
      </c>
      <c r="J8" s="10" t="inlineStr">
        <is>
          <t>Signal Strength</t>
        </is>
      </c>
    </row>
    <row r="9">
      <c r="A9" s="11" t="inlineStr">
        <is>
          <t>ICICIBANK</t>
        </is>
      </c>
      <c r="B9" s="12" t="n">
        <v>1355</v>
      </c>
      <c r="C9" s="12" t="n">
        <v>1340.410003662109</v>
      </c>
      <c r="D9" s="13" t="n">
        <v>49.54384706883516</v>
      </c>
      <c r="E9" s="13" t="n">
        <v>-14.04202419504395</v>
      </c>
      <c r="F9" s="13" t="n">
        <v>-19.85231278059355</v>
      </c>
      <c r="G9" s="14" t="b">
        <v>1</v>
      </c>
      <c r="H9" s="15" t="b">
        <v>0</v>
      </c>
      <c r="I9" s="14" t="b">
        <v>1</v>
      </c>
      <c r="J9" s="16" t="n">
        <v>2</v>
      </c>
    </row>
    <row r="10">
      <c r="A10" s="11" t="inlineStr">
        <is>
          <t>ITC</t>
        </is>
      </c>
      <c r="B10" s="12" t="n">
        <v>266</v>
      </c>
      <c r="C10" s="12" t="n">
        <v>264.05</v>
      </c>
      <c r="D10" s="13" t="n">
        <v>50.46124619560598</v>
      </c>
      <c r="E10" s="13" t="n">
        <v>-1.430530067663256</v>
      </c>
      <c r="F10" s="13" t="n">
        <v>-1.591996447211581</v>
      </c>
      <c r="G10" s="14" t="b">
        <v>1</v>
      </c>
      <c r="H10" s="15" t="b">
        <v>0</v>
      </c>
      <c r="I10" s="14" t="b">
        <v>1</v>
      </c>
      <c r="J10" s="16" t="n">
        <v>2</v>
      </c>
    </row>
    <row r="11">
      <c r="A11" s="11" t="inlineStr">
        <is>
          <t>TCS</t>
        </is>
      </c>
      <c r="B11" s="12" t="n">
        <v>2156</v>
      </c>
      <c r="C11" s="12" t="n">
        <v>2119.370013427734</v>
      </c>
      <c r="D11" s="13" t="n">
        <v>50.61227522005106</v>
      </c>
      <c r="E11" s="13" t="n">
        <v>-41.91740257180891</v>
      </c>
      <c r="F11" s="13" t="n">
        <v>-51.40850472305785</v>
      </c>
      <c r="G11" s="14" t="b">
        <v>1</v>
      </c>
      <c r="H11" s="15" t="b">
        <v>0</v>
      </c>
      <c r="I11" s="14" t="b">
        <v>1</v>
      </c>
      <c r="J11" s="16" t="n">
        <v>2</v>
      </c>
    </row>
    <row r="12">
      <c r="A12" s="11" t="inlineStr">
        <is>
          <t>BSE</t>
        </is>
      </c>
      <c r="B12" s="12" t="n">
        <v>3287.199951171875</v>
      </c>
      <c r="C12" s="12" t="n">
        <v>3235.275</v>
      </c>
      <c r="D12" s="13" t="n">
        <v>50.93030649383904</v>
      </c>
      <c r="E12" s="13" t="n">
        <v>-20.93881911944709</v>
      </c>
      <c r="F12" s="13" t="n">
        <v>-45.67656239143347</v>
      </c>
      <c r="G12" s="14" t="b">
        <v>1</v>
      </c>
      <c r="H12" s="15" t="b">
        <v>0</v>
      </c>
      <c r="I12" s="14" t="b">
        <v>1</v>
      </c>
      <c r="J12" s="16" t="n">
        <v>2</v>
      </c>
    </row>
    <row r="13">
      <c r="A13" s="11" t="inlineStr">
        <is>
          <t>AXISBANK</t>
        </is>
      </c>
      <c r="B13" s="12" t="n">
        <v>1259.099975585938</v>
      </c>
      <c r="C13" s="12" t="n">
        <v>1233.979992675781</v>
      </c>
      <c r="D13" s="13" t="n">
        <v>55.97743500093812</v>
      </c>
      <c r="E13" s="13" t="n">
        <v>-1.584328854045907</v>
      </c>
      <c r="F13" s="13" t="n">
        <v>-5.699907056455604</v>
      </c>
      <c r="G13" s="14" t="b">
        <v>1</v>
      </c>
      <c r="H13" s="15" t="b">
        <v>0</v>
      </c>
      <c r="I13" s="14" t="b">
        <v>1</v>
      </c>
      <c r="J13" s="16" t="n">
        <v>2</v>
      </c>
    </row>
    <row r="14">
      <c r="A14" s="11" t="inlineStr">
        <is>
          <t>HDFCLIFE</t>
        </is>
      </c>
      <c r="B14" s="12" t="n">
        <v>556.6500244140625</v>
      </c>
      <c r="C14" s="12" t="n">
        <v>539.0550048828125</v>
      </c>
      <c r="D14" s="13" t="n">
        <v>57.92488129124126</v>
      </c>
      <c r="E14" s="13" t="n">
        <v>0.8725529548618169</v>
      </c>
      <c r="F14" s="13" t="n">
        <v>-1.26388219633368</v>
      </c>
      <c r="G14" s="14" t="b">
        <v>1</v>
      </c>
      <c r="H14" s="15" t="b">
        <v>0</v>
      </c>
      <c r="I14" s="14" t="b">
        <v>1</v>
      </c>
      <c r="J14" s="16" t="n">
        <v>2</v>
      </c>
    </row>
    <row r="15">
      <c r="A15" s="11" t="inlineStr">
        <is>
          <t>TRENT</t>
        </is>
      </c>
      <c r="B15" s="12" t="n">
        <v>2918.199951171875</v>
      </c>
      <c r="C15" s="12" t="n">
        <v>2755.444995117187</v>
      </c>
      <c r="D15" s="13" t="n">
        <v>61.06400567845113</v>
      </c>
      <c r="E15" s="13" t="n">
        <v>-6.990830004229792</v>
      </c>
      <c r="F15" s="13" t="n">
        <v>-40.0114149768588</v>
      </c>
      <c r="G15" s="14" t="b">
        <v>1</v>
      </c>
      <c r="H15" s="15" t="b">
        <v>0</v>
      </c>
      <c r="I15" s="14" t="b">
        <v>1</v>
      </c>
      <c r="J15" s="16" t="n">
        <v>2</v>
      </c>
    </row>
    <row r="16">
      <c r="A16" s="11" t="inlineStr">
        <is>
          <t>KOTAKBANK</t>
        </is>
      </c>
      <c r="B16" s="12" t="n">
        <v>441</v>
      </c>
      <c r="C16" s="12" t="n">
        <v>417.292497253418</v>
      </c>
      <c r="D16" s="13" t="n">
        <v>67.95121387427673</v>
      </c>
      <c r="E16" s="13" t="n">
        <v>6.581255990497823</v>
      </c>
      <c r="F16" s="13" t="n">
        <v>3.727695008152529</v>
      </c>
      <c r="G16" s="14" t="b">
        <v>1</v>
      </c>
      <c r="H16" s="15" t="b">
        <v>0</v>
      </c>
      <c r="I16" s="14" t="b">
        <v>1</v>
      </c>
      <c r="J16" s="16" t="n">
        <v>2</v>
      </c>
    </row>
    <row r="17">
      <c r="A17" s="11" t="inlineStr">
        <is>
          <t>BAJAJ-AUTO</t>
        </is>
      </c>
      <c r="B17" s="12" t="n">
        <v>9778</v>
      </c>
      <c r="C17" s="12" t="n">
        <v>10909.15</v>
      </c>
      <c r="D17" s="13" t="n">
        <v>23.21343210930907</v>
      </c>
      <c r="E17" s="13" t="n">
        <v>-481.5751230563365</v>
      </c>
      <c r="F17" s="13" t="n">
        <v>-323.8198456317283</v>
      </c>
      <c r="G17" s="15" t="b">
        <v>0</v>
      </c>
      <c r="H17" s="14" t="b">
        <v>1</v>
      </c>
      <c r="I17" s="15" t="b">
        <v>0</v>
      </c>
      <c r="J17" s="17" t="n">
        <v>1</v>
      </c>
    </row>
    <row r="18">
      <c r="A18" s="11" t="inlineStr">
        <is>
          <t>M&amp;M</t>
        </is>
      </c>
      <c r="B18" s="12" t="n">
        <v>2796.199951171875</v>
      </c>
      <c r="C18" s="12" t="n">
        <v>2971.205004882812</v>
      </c>
      <c r="D18" s="13" t="n">
        <v>25.78010872994761</v>
      </c>
      <c r="E18" s="13" t="n">
        <v>-110.1720607060261</v>
      </c>
      <c r="F18" s="13" t="n">
        <v>-95.20294397303209</v>
      </c>
      <c r="G18" s="15" t="b">
        <v>0</v>
      </c>
      <c r="H18" s="14" t="b">
        <v>1</v>
      </c>
      <c r="I18" s="15" t="b">
        <v>0</v>
      </c>
      <c r="J18" s="17" t="n">
        <v>1</v>
      </c>
    </row>
    <row r="19">
      <c r="A19" s="11" t="inlineStr">
        <is>
          <t>CIPLA</t>
        </is>
      </c>
      <c r="B19" s="12" t="n">
        <v>1301</v>
      </c>
      <c r="C19" s="12" t="n">
        <v>1361.734997558594</v>
      </c>
      <c r="D19" s="13" t="n">
        <v>26.85454040190774</v>
      </c>
      <c r="E19" s="13" t="n">
        <v>-23.28729581590551</v>
      </c>
      <c r="F19" s="13" t="n">
        <v>-17.12692271112538</v>
      </c>
      <c r="G19" s="15" t="b">
        <v>0</v>
      </c>
      <c r="H19" s="14" t="b">
        <v>1</v>
      </c>
      <c r="I19" s="15" t="b">
        <v>0</v>
      </c>
      <c r="J19" s="17" t="n">
        <v>1</v>
      </c>
    </row>
    <row r="20">
      <c r="A20" s="11" t="inlineStr">
        <is>
          <t>MAXHEALTH</t>
        </is>
      </c>
      <c r="B20" s="12" t="n">
        <v>883.7999877929688</v>
      </c>
      <c r="C20" s="12" t="n">
        <v>989.9124969482422</v>
      </c>
      <c r="D20" s="13" t="n">
        <v>27.74863183575825</v>
      </c>
      <c r="E20" s="13" t="n">
        <v>-36.93783962159307</v>
      </c>
      <c r="F20" s="13" t="n">
        <v>-22.61519446879682</v>
      </c>
      <c r="G20" s="15" t="b">
        <v>0</v>
      </c>
      <c r="H20" s="14" t="b">
        <v>1</v>
      </c>
      <c r="I20" s="15" t="b">
        <v>0</v>
      </c>
      <c r="J20" s="17" t="n">
        <v>1</v>
      </c>
    </row>
    <row r="21">
      <c r="A21" s="11" t="inlineStr">
        <is>
          <t>GRASIM</t>
        </is>
      </c>
      <c r="B21" s="12" t="n">
        <v>2890</v>
      </c>
      <c r="C21" s="12" t="n">
        <v>3103.209997558594</v>
      </c>
      <c r="D21" s="13" t="n">
        <v>28.27701680750202</v>
      </c>
      <c r="E21" s="13" t="n">
        <v>-90.89745096950219</v>
      </c>
      <c r="F21" s="13" t="n">
        <v>-62.75415930293131</v>
      </c>
      <c r="G21" s="15" t="b">
        <v>0</v>
      </c>
      <c r="H21" s="14" t="b">
        <v>1</v>
      </c>
      <c r="I21" s="15" t="b">
        <v>0</v>
      </c>
      <c r="J21" s="17" t="n">
        <v>1</v>
      </c>
    </row>
    <row r="22">
      <c r="A22" s="11" t="inlineStr">
        <is>
          <t>TITAN</t>
        </is>
      </c>
      <c r="B22" s="12" t="n">
        <v>4410</v>
      </c>
      <c r="C22" s="12" t="n">
        <v>4735.410009765625</v>
      </c>
      <c r="D22" s="13" t="n">
        <v>29.37045370818241</v>
      </c>
      <c r="E22" s="13" t="n">
        <v>-144.0737974345957</v>
      </c>
      <c r="F22" s="13" t="n">
        <v>-99.67223393029539</v>
      </c>
      <c r="G22" s="15" t="b">
        <v>0</v>
      </c>
      <c r="H22" s="14" t="b">
        <v>1</v>
      </c>
      <c r="I22" s="15" t="b">
        <v>0</v>
      </c>
      <c r="J22" s="17" t="n">
        <v>1</v>
      </c>
    </row>
    <row r="23">
      <c r="A23" s="11" t="inlineStr">
        <is>
          <t>BEL</t>
        </is>
      </c>
      <c r="B23" s="12" t="n">
        <v>368.1499938964844</v>
      </c>
      <c r="C23" s="12" t="n">
        <v>388.7699966430664</v>
      </c>
      <c r="D23" s="13" t="n">
        <v>30.06293983737243</v>
      </c>
      <c r="E23" s="13" t="n">
        <v>-7.681807915307502</v>
      </c>
      <c r="F23" s="13" t="n">
        <v>-5.561801301038447</v>
      </c>
      <c r="G23" s="15" t="b">
        <v>0</v>
      </c>
      <c r="H23" s="14" t="b">
        <v>1</v>
      </c>
      <c r="I23" s="15" t="b">
        <v>0</v>
      </c>
      <c r="J23" s="17" t="n">
        <v>1</v>
      </c>
    </row>
    <row r="24">
      <c r="A24" s="11" t="inlineStr">
        <is>
          <t>HINDALCO</t>
        </is>
      </c>
      <c r="B24" s="12" t="n">
        <v>900.3499755859375</v>
      </c>
      <c r="C24" s="12" t="n">
        <v>959.2950012207032</v>
      </c>
      <c r="D24" s="13" t="n">
        <v>30.28606374867029</v>
      </c>
      <c r="E24" s="13" t="n">
        <v>-26.01596330901987</v>
      </c>
      <c r="F24" s="13" t="n">
        <v>-19.12712754886195</v>
      </c>
      <c r="G24" s="15" t="b">
        <v>0</v>
      </c>
      <c r="H24" s="14" t="b">
        <v>1</v>
      </c>
      <c r="I24" s="15" t="b">
        <v>0</v>
      </c>
      <c r="J24" s="17" t="n">
        <v>1</v>
      </c>
    </row>
    <row r="25">
      <c r="A25" s="11" t="inlineStr">
        <is>
          <t>JSWSTEEL</t>
        </is>
      </c>
      <c r="B25" s="12" t="n">
        <v>1168</v>
      </c>
      <c r="C25" s="12" t="n">
        <v>1252.534997558594</v>
      </c>
      <c r="D25" s="13" t="n">
        <v>31.0497130723484</v>
      </c>
      <c r="E25" s="13" t="n">
        <v>-22.7448923226782</v>
      </c>
      <c r="F25" s="13" t="n">
        <v>-13.14970531615537</v>
      </c>
      <c r="G25" s="15" t="b">
        <v>0</v>
      </c>
      <c r="H25" s="14" t="b">
        <v>1</v>
      </c>
      <c r="I25" s="15" t="b">
        <v>0</v>
      </c>
      <c r="J25" s="17" t="n">
        <v>1</v>
      </c>
    </row>
    <row r="26">
      <c r="A26" s="11" t="inlineStr">
        <is>
          <t>MARUTI</t>
        </is>
      </c>
      <c r="B26" s="12" t="n">
        <v>11420</v>
      </c>
      <c r="C26" s="12" t="n">
        <v>11947.45</v>
      </c>
      <c r="D26" s="13" t="n">
        <v>31.89875467714153</v>
      </c>
      <c r="E26" s="13" t="n">
        <v>-421.2752993238537</v>
      </c>
      <c r="F26" s="13" t="n">
        <v>-398.5116868059425</v>
      </c>
      <c r="G26" s="15" t="b">
        <v>0</v>
      </c>
      <c r="H26" s="14" t="b">
        <v>1</v>
      </c>
      <c r="I26" s="15" t="b">
        <v>0</v>
      </c>
      <c r="J26" s="17" t="n">
        <v>1</v>
      </c>
    </row>
    <row r="27">
      <c r="A27" s="11" t="inlineStr">
        <is>
          <t>BAJAJFINSV</t>
        </is>
      </c>
      <c r="B27" s="12" t="n">
        <v>1734.699951171875</v>
      </c>
      <c r="C27" s="12" t="n">
        <v>1797.950006103516</v>
      </c>
      <c r="D27" s="13" t="n">
        <v>32.8884650357279</v>
      </c>
      <c r="E27" s="13" t="n">
        <v>-56.09955537407632</v>
      </c>
      <c r="F27" s="13" t="n">
        <v>-54.20124922822067</v>
      </c>
      <c r="G27" s="15" t="b">
        <v>0</v>
      </c>
      <c r="H27" s="14" t="b">
        <v>1</v>
      </c>
      <c r="I27" s="15" t="b">
        <v>0</v>
      </c>
      <c r="J27" s="17" t="n">
        <v>1</v>
      </c>
    </row>
    <row r="28">
      <c r="A28" s="11" t="inlineStr">
        <is>
          <t>SUNPHARMA</t>
        </is>
      </c>
      <c r="B28" s="12" t="n">
        <v>1760</v>
      </c>
      <c r="C28" s="12" t="n">
        <v>1829.085003662109</v>
      </c>
      <c r="D28" s="13" t="n">
        <v>33.6511169877964</v>
      </c>
      <c r="E28" s="13" t="n">
        <v>-32.45165023997765</v>
      </c>
      <c r="F28" s="13" t="n">
        <v>-25.57851812473461</v>
      </c>
      <c r="G28" s="15" t="b">
        <v>0</v>
      </c>
      <c r="H28" s="14" t="b">
        <v>1</v>
      </c>
      <c r="I28" s="15" t="b">
        <v>0</v>
      </c>
      <c r="J28" s="17" t="n">
        <v>1</v>
      </c>
    </row>
    <row r="29">
      <c r="A29" s="11" t="inlineStr">
        <is>
          <t>ONGC</t>
        </is>
      </c>
      <c r="B29" s="12" t="n">
        <v>221.2700042724609</v>
      </c>
      <c r="C29" s="12" t="n">
        <v>230.5745002746582</v>
      </c>
      <c r="D29" s="13" t="n">
        <v>34.17226917956702</v>
      </c>
      <c r="E29" s="13" t="n">
        <v>-3.884304694545079</v>
      </c>
      <c r="F29" s="13" t="n">
        <v>-2.695361539943862</v>
      </c>
      <c r="G29" s="15" t="b">
        <v>0</v>
      </c>
      <c r="H29" s="14" t="b">
        <v>1</v>
      </c>
      <c r="I29" s="15" t="b">
        <v>0</v>
      </c>
      <c r="J29" s="17" t="n">
        <v>1</v>
      </c>
    </row>
    <row r="30">
      <c r="A30" s="11" t="inlineStr">
        <is>
          <t>ADANIENT</t>
        </is>
      </c>
      <c r="B30" s="12" t="n">
        <v>2634.39990234375</v>
      </c>
      <c r="C30" s="12" t="n">
        <v>2896.109985351562</v>
      </c>
      <c r="D30" s="13" t="n">
        <v>34.21021773040519</v>
      </c>
      <c r="E30" s="13" t="n">
        <v>-77.91103856721884</v>
      </c>
      <c r="F30" s="13" t="n">
        <v>-46.45256062921061</v>
      </c>
      <c r="G30" s="15" t="b">
        <v>0</v>
      </c>
      <c r="H30" s="14" t="b">
        <v>1</v>
      </c>
      <c r="I30" s="15" t="b">
        <v>0</v>
      </c>
      <c r="J30" s="17" t="n">
        <v>1</v>
      </c>
    </row>
    <row r="31">
      <c r="A31" s="11" t="inlineStr">
        <is>
          <t>NTPC</t>
        </is>
      </c>
      <c r="B31" s="12" t="n">
        <v>312</v>
      </c>
      <c r="C31" s="12" t="n">
        <v>323.7850006103516</v>
      </c>
      <c r="D31" s="13" t="n">
        <v>34.93989952448644</v>
      </c>
      <c r="E31" s="13" t="n">
        <v>-4.821498035069396</v>
      </c>
      <c r="F31" s="13" t="n">
        <v>-3.746909280874153</v>
      </c>
      <c r="G31" s="15" t="b">
        <v>0</v>
      </c>
      <c r="H31" s="14" t="b">
        <v>1</v>
      </c>
      <c r="I31" s="15" t="b">
        <v>0</v>
      </c>
      <c r="J31" s="17" t="n">
        <v>1</v>
      </c>
    </row>
    <row r="32">
      <c r="A32" s="11" t="inlineStr">
        <is>
          <t>TATACONSUM</t>
        </is>
      </c>
      <c r="B32" s="12" t="n">
        <v>955</v>
      </c>
      <c r="C32" s="12" t="n">
        <v>978.717495727539</v>
      </c>
      <c r="D32" s="13" t="n">
        <v>37.5396061143291</v>
      </c>
      <c r="E32" s="13" t="n">
        <v>-19.91030830387001</v>
      </c>
      <c r="F32" s="13" t="n">
        <v>-20.54943838494552</v>
      </c>
      <c r="G32" s="15" t="b">
        <v>0</v>
      </c>
      <c r="H32" s="15" t="b">
        <v>0</v>
      </c>
      <c r="I32" s="14" t="b">
        <v>1</v>
      </c>
      <c r="J32" s="17" t="n">
        <v>1</v>
      </c>
    </row>
    <row r="33">
      <c r="A33" s="11" t="inlineStr">
        <is>
          <t>NESTLEIND</t>
        </is>
      </c>
      <c r="B33" s="12" t="n">
        <v>1333</v>
      </c>
      <c r="C33" s="12" t="n">
        <v>1351.629992675781</v>
      </c>
      <c r="D33" s="13" t="n">
        <v>41.96249105160302</v>
      </c>
      <c r="E33" s="13" t="n">
        <v>-27.95402651832183</v>
      </c>
      <c r="F33" s="13" t="n">
        <v>-28.94745538805931</v>
      </c>
      <c r="G33" s="15" t="b">
        <v>0</v>
      </c>
      <c r="H33" s="15" t="b">
        <v>0</v>
      </c>
      <c r="I33" s="14" t="b">
        <v>1</v>
      </c>
      <c r="J33" s="17" t="n">
        <v>1</v>
      </c>
    </row>
    <row r="34">
      <c r="A34" s="11" t="inlineStr">
        <is>
          <t>INDIGO</t>
        </is>
      </c>
      <c r="B34" s="12" t="n">
        <v>4833</v>
      </c>
      <c r="C34" s="12" t="n">
        <v>4915.2</v>
      </c>
      <c r="D34" s="13" t="n">
        <v>42.20671982208532</v>
      </c>
      <c r="E34" s="13" t="n">
        <v>-42.48461371119083</v>
      </c>
      <c r="F34" s="13" t="n">
        <v>-44.87547280788591</v>
      </c>
      <c r="G34" s="15" t="b">
        <v>0</v>
      </c>
      <c r="H34" s="15" t="b">
        <v>0</v>
      </c>
      <c r="I34" s="14" t="b">
        <v>1</v>
      </c>
      <c r="J34" s="17" t="n">
        <v>1</v>
      </c>
    </row>
    <row r="35">
      <c r="A35" s="11" t="inlineStr">
        <is>
          <t>INFY</t>
        </is>
      </c>
      <c r="B35" s="12" t="n">
        <v>1023.400024414062</v>
      </c>
      <c r="C35" s="12" t="n">
        <v>1025.9375</v>
      </c>
      <c r="D35" s="13" t="n">
        <v>45.28656637250279</v>
      </c>
      <c r="E35" s="13" t="n">
        <v>-23.37787349661858</v>
      </c>
      <c r="F35" s="13" t="n">
        <v>-25.52591950918527</v>
      </c>
      <c r="G35" s="15" t="b">
        <v>0</v>
      </c>
      <c r="H35" s="15" t="b">
        <v>0</v>
      </c>
      <c r="I35" s="14" t="b">
        <v>1</v>
      </c>
      <c r="J35" s="17" t="n">
        <v>1</v>
      </c>
    </row>
    <row r="36">
      <c r="A36" s="11" t="inlineStr">
        <is>
          <t>BHARTIARTL</t>
        </is>
      </c>
      <c r="B36" s="12" t="n">
        <v>1805.099975585938</v>
      </c>
      <c r="C36" s="12" t="n">
        <v>1810.064996337891</v>
      </c>
      <c r="D36" s="13" t="n">
        <v>46.71186433801064</v>
      </c>
      <c r="E36" s="13" t="n">
        <v>-19.55052055037709</v>
      </c>
      <c r="F36" s="13" t="n">
        <v>-24.8520684656642</v>
      </c>
      <c r="G36" s="15" t="b">
        <v>0</v>
      </c>
      <c r="H36" s="15" t="b">
        <v>0</v>
      </c>
      <c r="I36" s="14" t="b">
        <v>1</v>
      </c>
      <c r="J36" s="17" t="n">
        <v>1</v>
      </c>
    </row>
    <row r="37">
      <c r="A37" s="11" t="inlineStr">
        <is>
          <t>DRREDDY</t>
        </is>
      </c>
      <c r="B37" s="12" t="n">
        <v>1197</v>
      </c>
      <c r="C37" s="12" t="n">
        <v>1193.965002441406</v>
      </c>
      <c r="D37" s="13" t="n">
        <v>50.9259316386642</v>
      </c>
      <c r="E37" s="13" t="n">
        <v>6.633028665835809</v>
      </c>
      <c r="F37" s="13" t="n">
        <v>8.195124377056151</v>
      </c>
      <c r="G37" s="14" t="b">
        <v>1</v>
      </c>
      <c r="H37" s="15" t="b">
        <v>0</v>
      </c>
      <c r="I37" s="15" t="b">
        <v>0</v>
      </c>
      <c r="J37" s="17" t="n">
        <v>1</v>
      </c>
    </row>
    <row r="38">
      <c r="A38" s="11" t="inlineStr">
        <is>
          <t>RELIANCE</t>
        </is>
      </c>
      <c r="B38" s="12" t="n">
        <v>1170.300048828125</v>
      </c>
      <c r="C38" s="12" t="n">
        <v>1217.640002441406</v>
      </c>
      <c r="D38" s="13" t="n">
        <v>35.42530511999168</v>
      </c>
      <c r="E38" s="13" t="n">
        <v>-26.78985624809752</v>
      </c>
      <c r="F38" s="13" t="n">
        <v>-25.11287640363432</v>
      </c>
      <c r="G38" s="15" t="b">
        <v>0</v>
      </c>
      <c r="H38" s="15" t="b">
        <v>0</v>
      </c>
      <c r="I38" s="15" t="b">
        <v>0</v>
      </c>
      <c r="J38" s="18" t="n">
        <v>0</v>
      </c>
    </row>
    <row r="39">
      <c r="A39" s="11" t="inlineStr">
        <is>
          <t>TATASTEEL</t>
        </is>
      </c>
      <c r="B39" s="12" t="n">
        <v>173.8000030517578</v>
      </c>
      <c r="C39" s="12" t="n">
        <v>182.963500213623</v>
      </c>
      <c r="D39" s="13" t="n">
        <v>35.47492785193816</v>
      </c>
      <c r="E39" s="13" t="n">
        <v>-2.920320388702891</v>
      </c>
      <c r="F39" s="13" t="n">
        <v>-1.51769458316433</v>
      </c>
      <c r="G39" s="15" t="b">
        <v>0</v>
      </c>
      <c r="H39" s="15" t="b">
        <v>0</v>
      </c>
      <c r="I39" s="15" t="b">
        <v>0</v>
      </c>
      <c r="J39" s="18" t="n">
        <v>0</v>
      </c>
    </row>
    <row r="40">
      <c r="A40" s="11" t="inlineStr">
        <is>
          <t>POWERGRID</t>
        </is>
      </c>
      <c r="B40" s="12" t="n">
        <v>249.1499938964844</v>
      </c>
      <c r="C40" s="12" t="n">
        <v>261.9050003051758</v>
      </c>
      <c r="D40" s="13" t="n">
        <v>35.51693808452954</v>
      </c>
      <c r="E40" s="13" t="n">
        <v>-4.795078255286001</v>
      </c>
      <c r="F40" s="13" t="n">
        <v>-3.203022086214777</v>
      </c>
      <c r="G40" s="15" t="b">
        <v>0</v>
      </c>
      <c r="H40" s="15" t="b">
        <v>0</v>
      </c>
      <c r="I40" s="15" t="b">
        <v>0</v>
      </c>
      <c r="J40" s="18" t="n">
        <v>0</v>
      </c>
    </row>
    <row r="41">
      <c r="A41" s="11" t="inlineStr">
        <is>
          <t>JIOFIN</t>
        </is>
      </c>
      <c r="B41" s="12" t="n">
        <v>214.6199951171875</v>
      </c>
      <c r="C41" s="12" t="n">
        <v>222.8099990844727</v>
      </c>
      <c r="D41" s="13" t="n">
        <v>35.66400652067713</v>
      </c>
      <c r="E41" s="13" t="n">
        <v>-6.323713292638161</v>
      </c>
      <c r="F41" s="13" t="n">
        <v>-5.799292016782599</v>
      </c>
      <c r="G41" s="15" t="b">
        <v>0</v>
      </c>
      <c r="H41" s="15" t="b">
        <v>0</v>
      </c>
      <c r="I41" s="15" t="b">
        <v>0</v>
      </c>
      <c r="J41" s="18" t="n">
        <v>0</v>
      </c>
    </row>
    <row r="42">
      <c r="A42" s="11" t="inlineStr">
        <is>
          <t>ASIANPAINT</t>
        </is>
      </c>
      <c r="B42" s="12" t="n">
        <v>2339.10009765625</v>
      </c>
      <c r="C42" s="12" t="n">
        <v>2416.670031738281</v>
      </c>
      <c r="D42" s="13" t="n">
        <v>35.82990690431114</v>
      </c>
      <c r="E42" s="13" t="n">
        <v>-54.9508469926086</v>
      </c>
      <c r="F42" s="13" t="n">
        <v>-53.16673800694296</v>
      </c>
      <c r="G42" s="15" t="b">
        <v>0</v>
      </c>
      <c r="H42" s="15" t="b">
        <v>0</v>
      </c>
      <c r="I42" s="15" t="b">
        <v>0</v>
      </c>
      <c r="J42" s="18" t="n">
        <v>0</v>
      </c>
    </row>
    <row r="43">
      <c r="A43" s="11" t="inlineStr">
        <is>
          <t>SHRIRAMFIN</t>
        </is>
      </c>
      <c r="B43" s="12" t="n">
        <v>940.4500122070312</v>
      </c>
      <c r="C43" s="12" t="n">
        <v>983.0374969482422</v>
      </c>
      <c r="D43" s="13" t="n">
        <v>36.89451429636592</v>
      </c>
      <c r="E43" s="13" t="n">
        <v>-29.57541762155495</v>
      </c>
      <c r="F43" s="13" t="n">
        <v>-26.37278785247945</v>
      </c>
      <c r="G43" s="15" t="b">
        <v>0</v>
      </c>
      <c r="H43" s="15" t="b">
        <v>0</v>
      </c>
      <c r="I43" s="15" t="b">
        <v>0</v>
      </c>
      <c r="J43" s="18" t="n">
        <v>0</v>
      </c>
    </row>
    <row r="44">
      <c r="A44" s="11" t="inlineStr">
        <is>
          <t>TMPV</t>
        </is>
      </c>
      <c r="B44" s="12" t="n">
        <v>279.8999938964844</v>
      </c>
      <c r="C44" s="12" t="n">
        <v>292.4049987792969</v>
      </c>
      <c r="D44" s="13" t="n">
        <v>36.90218806815682</v>
      </c>
      <c r="E44" s="13" t="n">
        <v>-9.476193963921219</v>
      </c>
      <c r="F44" s="13" t="n">
        <v>-9.07026365050908</v>
      </c>
      <c r="G44" s="15" t="b">
        <v>0</v>
      </c>
      <c r="H44" s="15" t="b">
        <v>0</v>
      </c>
      <c r="I44" s="15" t="b">
        <v>0</v>
      </c>
      <c r="J44" s="18" t="n">
        <v>0</v>
      </c>
    </row>
    <row r="45">
      <c r="A45" s="11" t="inlineStr">
        <is>
          <t>APOLLOHOSP</t>
        </is>
      </c>
      <c r="B45" s="12" t="n">
        <v>8027.5</v>
      </c>
      <c r="C45" s="12" t="n">
        <v>8539.075000000001</v>
      </c>
      <c r="D45" s="13" t="n">
        <v>37.21574293778239</v>
      </c>
      <c r="E45" s="13" t="n">
        <v>-243.9033630111735</v>
      </c>
      <c r="F45" s="13" t="n">
        <v>-146.6236008887346</v>
      </c>
      <c r="G45" s="15" t="b">
        <v>0</v>
      </c>
      <c r="H45" s="15" t="b">
        <v>0</v>
      </c>
      <c r="I45" s="15" t="b">
        <v>0</v>
      </c>
      <c r="J45" s="18" t="n">
        <v>0</v>
      </c>
    </row>
    <row r="46">
      <c r="A46" s="11" t="inlineStr">
        <is>
          <t>BAJFINANCE</t>
        </is>
      </c>
      <c r="B46" s="12" t="n">
        <v>960</v>
      </c>
      <c r="C46" s="12" t="n">
        <v>994.0149993896484</v>
      </c>
      <c r="D46" s="13" t="n">
        <v>37.63572507026642</v>
      </c>
      <c r="E46" s="13" t="n">
        <v>-25.37274044051901</v>
      </c>
      <c r="F46" s="13" t="n">
        <v>-23.43571660150393</v>
      </c>
      <c r="G46" s="15" t="b">
        <v>0</v>
      </c>
      <c r="H46" s="15" t="b">
        <v>0</v>
      </c>
      <c r="I46" s="15" t="b">
        <v>0</v>
      </c>
      <c r="J46" s="18" t="n">
        <v>0</v>
      </c>
    </row>
    <row r="47">
      <c r="A47" s="11" t="inlineStr">
        <is>
          <t>EICHERMOT</t>
        </is>
      </c>
      <c r="B47" s="12" t="n">
        <v>7050</v>
      </c>
      <c r="C47" s="12" t="n">
        <v>7280.475</v>
      </c>
      <c r="D47" s="13" t="n">
        <v>38.59723600713799</v>
      </c>
      <c r="E47" s="13" t="n">
        <v>-210.4893857383058</v>
      </c>
      <c r="F47" s="13" t="n">
        <v>-183.102207411084</v>
      </c>
      <c r="G47" s="15" t="b">
        <v>0</v>
      </c>
      <c r="H47" s="15" t="b">
        <v>0</v>
      </c>
      <c r="I47" s="15" t="b">
        <v>0</v>
      </c>
      <c r="J47" s="18" t="n">
        <v>0</v>
      </c>
    </row>
    <row r="48">
      <c r="A48" s="11" t="inlineStr">
        <is>
          <t>HINDUNILVR</t>
        </is>
      </c>
      <c r="B48" s="12" t="n">
        <v>1856.699951171875</v>
      </c>
      <c r="C48" s="12" t="n">
        <v>1906.295001220703</v>
      </c>
      <c r="D48" s="13" t="n">
        <v>38.70440867989946</v>
      </c>
      <c r="E48" s="13" t="n">
        <v>-38.21218565039612</v>
      </c>
      <c r="F48" s="13" t="n">
        <v>-36.75019662619527</v>
      </c>
      <c r="G48" s="15" t="b">
        <v>0</v>
      </c>
      <c r="H48" s="15" t="b">
        <v>0</v>
      </c>
      <c r="I48" s="15" t="b">
        <v>0</v>
      </c>
      <c r="J48" s="18" t="n">
        <v>0</v>
      </c>
    </row>
    <row r="49">
      <c r="A49" s="11" t="inlineStr">
        <is>
          <t>LT</t>
        </is>
      </c>
      <c r="B49" s="12" t="n">
        <v>3703.300048828125</v>
      </c>
      <c r="C49" s="12" t="n">
        <v>3810.989978027344</v>
      </c>
      <c r="D49" s="13" t="n">
        <v>39.54998439411673</v>
      </c>
      <c r="E49" s="13" t="n">
        <v>-72.51322856765182</v>
      </c>
      <c r="F49" s="13" t="n">
        <v>-60.8542534994556</v>
      </c>
      <c r="G49" s="15" t="b">
        <v>0</v>
      </c>
      <c r="H49" s="15" t="b">
        <v>0</v>
      </c>
      <c r="I49" s="15" t="b">
        <v>0</v>
      </c>
      <c r="J49" s="18" t="n">
        <v>0</v>
      </c>
    </row>
    <row r="50">
      <c r="A50" s="11" t="inlineStr">
        <is>
          <t>SBIN</t>
        </is>
      </c>
      <c r="B50" s="12" t="n">
        <v>959.0999755859375</v>
      </c>
      <c r="C50" s="12" t="n">
        <v>974.9225006103516</v>
      </c>
      <c r="D50" s="13" t="n">
        <v>39.89154724324525</v>
      </c>
      <c r="E50" s="13" t="n">
        <v>-18.58277457353768</v>
      </c>
      <c r="F50" s="13" t="n">
        <v>-17.96099030965231</v>
      </c>
      <c r="G50" s="15" t="b">
        <v>0</v>
      </c>
      <c r="H50" s="15" t="b">
        <v>0</v>
      </c>
      <c r="I50" s="15" t="b">
        <v>0</v>
      </c>
      <c r="J50" s="18" t="n">
        <v>0</v>
      </c>
    </row>
    <row r="51">
      <c r="A51" s="11" t="inlineStr">
        <is>
          <t>SBILIFE</t>
        </is>
      </c>
      <c r="B51" s="12" t="n">
        <v>1684.599975585938</v>
      </c>
      <c r="C51" s="12" t="n">
        <v>1721.914996337891</v>
      </c>
      <c r="D51" s="13" t="n">
        <v>41.70609404276053</v>
      </c>
      <c r="E51" s="13" t="n">
        <v>-14.04950276047362</v>
      </c>
      <c r="F51" s="13" t="n">
        <v>-12.18436345502316</v>
      </c>
      <c r="G51" s="15" t="b">
        <v>0</v>
      </c>
      <c r="H51" s="15" t="b">
        <v>0</v>
      </c>
      <c r="I51" s="15" t="b">
        <v>0</v>
      </c>
      <c r="J51" s="18" t="n">
        <v>0</v>
      </c>
    </row>
    <row r="52">
      <c r="A52" s="11" t="inlineStr">
        <is>
          <t>ULTRACEMCO</t>
        </is>
      </c>
      <c r="B52" s="12" t="n">
        <v>10675</v>
      </c>
      <c r="C52" s="12" t="n">
        <v>10874.95</v>
      </c>
      <c r="D52" s="13" t="n">
        <v>41.82848506260389</v>
      </c>
      <c r="E52" s="13" t="n">
        <v>-176.4713081523078</v>
      </c>
      <c r="F52" s="13" t="n">
        <v>-156.6142142102246</v>
      </c>
      <c r="G52" s="15" t="b">
        <v>0</v>
      </c>
      <c r="H52" s="15" t="b">
        <v>0</v>
      </c>
      <c r="I52" s="15" t="b">
        <v>0</v>
      </c>
      <c r="J52" s="18" t="n">
        <v>0</v>
      </c>
    </row>
    <row r="53">
      <c r="A53" s="11" t="inlineStr">
        <is>
          <t>TECHM</t>
        </is>
      </c>
      <c r="B53" s="12" t="n">
        <v>1514.099975585938</v>
      </c>
      <c r="C53" s="12" t="n">
        <v>1535.419995117187</v>
      </c>
      <c r="D53" s="13" t="n">
        <v>43.01615678704934</v>
      </c>
      <c r="E53" s="13" t="n">
        <v>-18.69718926804353</v>
      </c>
      <c r="F53" s="13" t="n">
        <v>-15.91024486297768</v>
      </c>
      <c r="G53" s="15" t="b">
        <v>0</v>
      </c>
      <c r="H53" s="15" t="b">
        <v>0</v>
      </c>
      <c r="I53" s="15" t="b">
        <v>0</v>
      </c>
      <c r="J53" s="18" t="n">
        <v>0</v>
      </c>
    </row>
    <row r="54">
      <c r="A54" s="11" t="inlineStr">
        <is>
          <t>HCLTECH</t>
        </is>
      </c>
      <c r="B54" s="12" t="n">
        <v>1216.699951171875</v>
      </c>
      <c r="C54" s="12" t="n">
        <v>1233.484997558594</v>
      </c>
      <c r="D54" s="13" t="n">
        <v>44.44217805665735</v>
      </c>
      <c r="E54" s="13" t="n">
        <v>-22.15411284458855</v>
      </c>
      <c r="F54" s="13" t="n">
        <v>-18.30389588516618</v>
      </c>
      <c r="G54" s="15" t="b">
        <v>0</v>
      </c>
      <c r="H54" s="15" t="b">
        <v>0</v>
      </c>
      <c r="I54" s="15" t="b">
        <v>0</v>
      </c>
      <c r="J54" s="18" t="n">
        <v>0</v>
      </c>
    </row>
    <row r="55">
      <c r="A55" s="11" t="inlineStr">
        <is>
          <t>COALINDIA</t>
        </is>
      </c>
      <c r="B55" s="12" t="n">
        <v>411.5499877929688</v>
      </c>
      <c r="C55" s="12" t="n">
        <v>420.4099990844726</v>
      </c>
      <c r="D55" s="13" t="n">
        <v>45.32929072250063</v>
      </c>
      <c r="E55" s="13" t="n">
        <v>0.1344282591167598</v>
      </c>
      <c r="F55" s="13" t="n">
        <v>2.055962180636336</v>
      </c>
      <c r="G55" s="15" t="b">
        <v>0</v>
      </c>
      <c r="H55" s="15" t="b">
        <v>0</v>
      </c>
      <c r="I55" s="15" t="b">
        <v>0</v>
      </c>
      <c r="J55" s="18" t="n">
        <v>0</v>
      </c>
    </row>
    <row r="56">
      <c r="A56" s="11" t="inlineStr">
        <is>
          <t>HDFCBANK</t>
        </is>
      </c>
      <c r="B56" s="12" t="n">
        <v>707.25</v>
      </c>
      <c r="C56" s="12" t="n">
        <v>717.7049987792968</v>
      </c>
      <c r="D56" s="13" t="n">
        <v>45.99472623482651</v>
      </c>
      <c r="E56" s="13" t="n">
        <v>-5.146878445406401</v>
      </c>
      <c r="F56" s="13" t="n">
        <v>-3.108121846760935</v>
      </c>
      <c r="G56" s="15" t="b">
        <v>0</v>
      </c>
      <c r="H56" s="15" t="b">
        <v>0</v>
      </c>
      <c r="I56" s="15" t="b">
        <v>0</v>
      </c>
      <c r="J56" s="18" t="n">
        <v>0</v>
      </c>
    </row>
    <row r="57">
      <c r="A57" s="11" t="inlineStr">
        <is>
          <t>ETERNAL</t>
        </is>
      </c>
      <c r="B57" s="12" t="n">
        <v>323.4500122070312</v>
      </c>
      <c r="C57" s="12" t="n">
        <v>326.5550003051758</v>
      </c>
      <c r="D57" s="13" t="n">
        <v>49.20404278030369</v>
      </c>
      <c r="E57" s="13" t="n">
        <v>0.505586962742882</v>
      </c>
      <c r="F57" s="13" t="n">
        <v>1.895590312890889</v>
      </c>
      <c r="G57" s="15" t="b">
        <v>0</v>
      </c>
      <c r="H57" s="15" t="b">
        <v>0</v>
      </c>
      <c r="I57" s="15" t="b">
        <v>0</v>
      </c>
      <c r="J57" s="18" t="n">
        <v>0</v>
      </c>
    </row>
    <row r="58">
      <c r="A58" s="11" t="inlineStr">
        <is>
          <t>ADANIPORTS</t>
        </is>
      </c>
      <c r="B58" s="12" t="n">
        <v>1761</v>
      </c>
      <c r="C58" s="12" t="n">
        <v>1768.675012207031</v>
      </c>
      <c r="D58" s="13" t="n">
        <v>50.94297079989349</v>
      </c>
      <c r="E58" s="13" t="n">
        <v>6.930644254441631</v>
      </c>
      <c r="F58" s="13" t="n">
        <v>13.4169094134225</v>
      </c>
      <c r="G58" s="15" t="b">
        <v>0</v>
      </c>
      <c r="H58" s="15" t="b">
        <v>0</v>
      </c>
      <c r="I58" s="15" t="b">
        <v>0</v>
      </c>
      <c r="J58" s="18" t="n">
        <v>0</v>
      </c>
    </row>
  </sheetData>
  <autoFilter ref="A8:J58"/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conditionalFormatting sqref="D9:D58">
    <cfRule type="dataBar" priority="1">
      <dataBar showValue="1">
        <cfvo type="num" val="0"/>
        <cfvo type="num" val="100"/>
        <color rgb="002A78D6"/>
      </dataBar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4" customHeight="1">
      <c r="A1" s="1" t="inlineStr">
        <is>
          <t>RSI across the universe</t>
        </is>
      </c>
    </row>
    <row r="2" ht="18" customHeight="1">
      <c r="A2" s="2" t="inlineStr">
        <is>
          <t>Lower is more oversold. Orange bars would trigger a buy in the backtest.</t>
        </is>
      </c>
    </row>
    <row r="3">
      <c r="A3" s="19" t="inlineStr">
        <is>
          <t>Entry RSI</t>
        </is>
      </c>
      <c r="B3" s="20" t="n">
        <v>35</v>
      </c>
      <c r="C3" s="21" t="inlineStr">
        <is>
          <t>&lt;- thresholds from strategy_config.py; edit to move the chart lines</t>
        </is>
      </c>
    </row>
    <row r="4">
      <c r="A4" s="19" t="inlineStr">
        <is>
          <t>Exit RSI</t>
        </is>
      </c>
      <c r="B4" s="20" t="n">
        <v>60</v>
      </c>
    </row>
    <row r="6" ht="30" customHeight="1">
      <c r="A6" s="10" t="inlineStr">
        <is>
          <t>Ticker</t>
        </is>
      </c>
      <c r="B6" s="10" t="inlineStr">
        <is>
          <t>RSI (14)</t>
        </is>
      </c>
      <c r="C6" s="10" t="inlineStr">
        <is>
          <t>RSI at/above entry</t>
        </is>
      </c>
      <c r="D6" s="10" t="inlineStr">
        <is>
          <t>Oversold</t>
        </is>
      </c>
      <c r="E6" s="10" t="inlineStr">
        <is>
          <t>Entry line</t>
        </is>
      </c>
      <c r="F6" s="10" t="inlineStr">
        <is>
          <t>Exit line</t>
        </is>
      </c>
    </row>
    <row r="7">
      <c r="A7" s="11" t="inlineStr">
        <is>
          <t>BAJAJ-AUTO</t>
        </is>
      </c>
      <c r="B7" s="22">
        <f>INDEX(Market_Screener!$D$9:$D$58,MATCH(A7,Market_Screener!$A$9:$A$58,0))</f>
        <v/>
      </c>
      <c r="C7" s="22">
        <f>IF(B7&gt;=$B$3,B7,0)</f>
        <v/>
      </c>
      <c r="D7" s="22">
        <f>IF(B7&lt;$B$3,B7,0)</f>
        <v/>
      </c>
      <c r="E7" s="23">
        <f>$B$3</f>
        <v/>
      </c>
      <c r="F7" s="23">
        <f>$B$4</f>
        <v/>
      </c>
    </row>
    <row r="8">
      <c r="A8" s="11" t="inlineStr">
        <is>
          <t>M&amp;M</t>
        </is>
      </c>
      <c r="B8" s="22">
        <f>INDEX(Market_Screener!$D$9:$D$58,MATCH(A8,Market_Screener!$A$9:$A$58,0))</f>
        <v/>
      </c>
      <c r="C8" s="22">
        <f>IF(B8&gt;=$B$3,B8,0)</f>
        <v/>
      </c>
      <c r="D8" s="22">
        <f>IF(B8&lt;$B$3,B8,0)</f>
        <v/>
      </c>
      <c r="E8" s="23">
        <f>$B$3</f>
        <v/>
      </c>
      <c r="F8" s="23">
        <f>$B$4</f>
        <v/>
      </c>
    </row>
    <row r="9">
      <c r="A9" s="11" t="inlineStr">
        <is>
          <t>CIPLA</t>
        </is>
      </c>
      <c r="B9" s="22">
        <f>INDEX(Market_Screener!$D$9:$D$58,MATCH(A9,Market_Screener!$A$9:$A$58,0))</f>
        <v/>
      </c>
      <c r="C9" s="22">
        <f>IF(B9&gt;=$B$3,B9,0)</f>
        <v/>
      </c>
      <c r="D9" s="22">
        <f>IF(B9&lt;$B$3,B9,0)</f>
        <v/>
      </c>
      <c r="E9" s="23">
        <f>$B$3</f>
        <v/>
      </c>
      <c r="F9" s="23">
        <f>$B$4</f>
        <v/>
      </c>
    </row>
    <row r="10">
      <c r="A10" s="11" t="inlineStr">
        <is>
          <t>MAXHEALTH</t>
        </is>
      </c>
      <c r="B10" s="22">
        <f>INDEX(Market_Screener!$D$9:$D$58,MATCH(A10,Market_Screener!$A$9:$A$58,0))</f>
        <v/>
      </c>
      <c r="C10" s="22">
        <f>IF(B10&gt;=$B$3,B10,0)</f>
        <v/>
      </c>
      <c r="D10" s="22">
        <f>IF(B10&lt;$B$3,B10,0)</f>
        <v/>
      </c>
      <c r="E10" s="23">
        <f>$B$3</f>
        <v/>
      </c>
      <c r="F10" s="23">
        <f>$B$4</f>
        <v/>
      </c>
    </row>
    <row r="11">
      <c r="A11" s="11" t="inlineStr">
        <is>
          <t>GRASIM</t>
        </is>
      </c>
      <c r="B11" s="22">
        <f>INDEX(Market_Screener!$D$9:$D$58,MATCH(A11,Market_Screener!$A$9:$A$58,0))</f>
        <v/>
      </c>
      <c r="C11" s="22">
        <f>IF(B11&gt;=$B$3,B11,0)</f>
        <v/>
      </c>
      <c r="D11" s="22">
        <f>IF(B11&lt;$B$3,B11,0)</f>
        <v/>
      </c>
      <c r="E11" s="23">
        <f>$B$3</f>
        <v/>
      </c>
      <c r="F11" s="23">
        <f>$B$4</f>
        <v/>
      </c>
    </row>
    <row r="12">
      <c r="A12" s="11" t="inlineStr">
        <is>
          <t>TITAN</t>
        </is>
      </c>
      <c r="B12" s="22">
        <f>INDEX(Market_Screener!$D$9:$D$58,MATCH(A12,Market_Screener!$A$9:$A$58,0))</f>
        <v/>
      </c>
      <c r="C12" s="22">
        <f>IF(B12&gt;=$B$3,B12,0)</f>
        <v/>
      </c>
      <c r="D12" s="22">
        <f>IF(B12&lt;$B$3,B12,0)</f>
        <v/>
      </c>
      <c r="E12" s="23">
        <f>$B$3</f>
        <v/>
      </c>
      <c r="F12" s="23">
        <f>$B$4</f>
        <v/>
      </c>
    </row>
    <row r="13">
      <c r="A13" s="11" t="inlineStr">
        <is>
          <t>BEL</t>
        </is>
      </c>
      <c r="B13" s="22">
        <f>INDEX(Market_Screener!$D$9:$D$58,MATCH(A13,Market_Screener!$A$9:$A$58,0))</f>
        <v/>
      </c>
      <c r="C13" s="22">
        <f>IF(B13&gt;=$B$3,B13,0)</f>
        <v/>
      </c>
      <c r="D13" s="22">
        <f>IF(B13&lt;$B$3,B13,0)</f>
        <v/>
      </c>
      <c r="E13" s="23">
        <f>$B$3</f>
        <v/>
      </c>
      <c r="F13" s="23">
        <f>$B$4</f>
        <v/>
      </c>
    </row>
    <row r="14">
      <c r="A14" s="11" t="inlineStr">
        <is>
          <t>HINDALCO</t>
        </is>
      </c>
      <c r="B14" s="22">
        <f>INDEX(Market_Screener!$D$9:$D$58,MATCH(A14,Market_Screener!$A$9:$A$58,0))</f>
        <v/>
      </c>
      <c r="C14" s="22">
        <f>IF(B14&gt;=$B$3,B14,0)</f>
        <v/>
      </c>
      <c r="D14" s="22">
        <f>IF(B14&lt;$B$3,B14,0)</f>
        <v/>
      </c>
      <c r="E14" s="23">
        <f>$B$3</f>
        <v/>
      </c>
      <c r="F14" s="23">
        <f>$B$4</f>
        <v/>
      </c>
    </row>
    <row r="15">
      <c r="A15" s="11" t="inlineStr">
        <is>
          <t>JSWSTEEL</t>
        </is>
      </c>
      <c r="B15" s="22">
        <f>INDEX(Market_Screener!$D$9:$D$58,MATCH(A15,Market_Screener!$A$9:$A$58,0))</f>
        <v/>
      </c>
      <c r="C15" s="22">
        <f>IF(B15&gt;=$B$3,B15,0)</f>
        <v/>
      </c>
      <c r="D15" s="22">
        <f>IF(B15&lt;$B$3,B15,0)</f>
        <v/>
      </c>
      <c r="E15" s="23">
        <f>$B$3</f>
        <v/>
      </c>
      <c r="F15" s="23">
        <f>$B$4</f>
        <v/>
      </c>
    </row>
    <row r="16">
      <c r="A16" s="11" t="inlineStr">
        <is>
          <t>MARUTI</t>
        </is>
      </c>
      <c r="B16" s="22">
        <f>INDEX(Market_Screener!$D$9:$D$58,MATCH(A16,Market_Screener!$A$9:$A$58,0))</f>
        <v/>
      </c>
      <c r="C16" s="22">
        <f>IF(B16&gt;=$B$3,B16,0)</f>
        <v/>
      </c>
      <c r="D16" s="22">
        <f>IF(B16&lt;$B$3,B16,0)</f>
        <v/>
      </c>
      <c r="E16" s="23">
        <f>$B$3</f>
        <v/>
      </c>
      <c r="F16" s="23">
        <f>$B$4</f>
        <v/>
      </c>
    </row>
    <row r="17">
      <c r="A17" s="11" t="inlineStr">
        <is>
          <t>BAJAJFINSV</t>
        </is>
      </c>
      <c r="B17" s="22">
        <f>INDEX(Market_Screener!$D$9:$D$58,MATCH(A17,Market_Screener!$A$9:$A$58,0))</f>
        <v/>
      </c>
      <c r="C17" s="22">
        <f>IF(B17&gt;=$B$3,B17,0)</f>
        <v/>
      </c>
      <c r="D17" s="22">
        <f>IF(B17&lt;$B$3,B17,0)</f>
        <v/>
      </c>
      <c r="E17" s="23">
        <f>$B$3</f>
        <v/>
      </c>
      <c r="F17" s="23">
        <f>$B$4</f>
        <v/>
      </c>
    </row>
    <row r="18">
      <c r="A18" s="11" t="inlineStr">
        <is>
          <t>SUNPHARMA</t>
        </is>
      </c>
      <c r="B18" s="22">
        <f>INDEX(Market_Screener!$D$9:$D$58,MATCH(A18,Market_Screener!$A$9:$A$58,0))</f>
        <v/>
      </c>
      <c r="C18" s="22">
        <f>IF(B18&gt;=$B$3,B18,0)</f>
        <v/>
      </c>
      <c r="D18" s="22">
        <f>IF(B18&lt;$B$3,B18,0)</f>
        <v/>
      </c>
      <c r="E18" s="23">
        <f>$B$3</f>
        <v/>
      </c>
      <c r="F18" s="23">
        <f>$B$4</f>
        <v/>
      </c>
    </row>
    <row r="19">
      <c r="A19" s="11" t="inlineStr">
        <is>
          <t>ONGC</t>
        </is>
      </c>
      <c r="B19" s="22">
        <f>INDEX(Market_Screener!$D$9:$D$58,MATCH(A19,Market_Screener!$A$9:$A$58,0))</f>
        <v/>
      </c>
      <c r="C19" s="22">
        <f>IF(B19&gt;=$B$3,B19,0)</f>
        <v/>
      </c>
      <c r="D19" s="22">
        <f>IF(B19&lt;$B$3,B19,0)</f>
        <v/>
      </c>
      <c r="E19" s="23">
        <f>$B$3</f>
        <v/>
      </c>
      <c r="F19" s="23">
        <f>$B$4</f>
        <v/>
      </c>
    </row>
    <row r="20">
      <c r="A20" s="11" t="inlineStr">
        <is>
          <t>ADANIENT</t>
        </is>
      </c>
      <c r="B20" s="22">
        <f>INDEX(Market_Screener!$D$9:$D$58,MATCH(A20,Market_Screener!$A$9:$A$58,0))</f>
        <v/>
      </c>
      <c r="C20" s="22">
        <f>IF(B20&gt;=$B$3,B20,0)</f>
        <v/>
      </c>
      <c r="D20" s="22">
        <f>IF(B20&lt;$B$3,B20,0)</f>
        <v/>
      </c>
      <c r="E20" s="23">
        <f>$B$3</f>
        <v/>
      </c>
      <c r="F20" s="23">
        <f>$B$4</f>
        <v/>
      </c>
    </row>
    <row r="21">
      <c r="A21" s="11" t="inlineStr">
        <is>
          <t>NTPC</t>
        </is>
      </c>
      <c r="B21" s="22">
        <f>INDEX(Market_Screener!$D$9:$D$58,MATCH(A21,Market_Screener!$A$9:$A$58,0))</f>
        <v/>
      </c>
      <c r="C21" s="22">
        <f>IF(B21&gt;=$B$3,B21,0)</f>
        <v/>
      </c>
      <c r="D21" s="22">
        <f>IF(B21&lt;$B$3,B21,0)</f>
        <v/>
      </c>
      <c r="E21" s="23">
        <f>$B$3</f>
        <v/>
      </c>
      <c r="F21" s="23">
        <f>$B$4</f>
        <v/>
      </c>
    </row>
    <row r="22">
      <c r="A22" s="11" t="inlineStr">
        <is>
          <t>RELIANCE</t>
        </is>
      </c>
      <c r="B22" s="22">
        <f>INDEX(Market_Screener!$D$9:$D$58,MATCH(A22,Market_Screener!$A$9:$A$58,0))</f>
        <v/>
      </c>
      <c r="C22" s="22">
        <f>IF(B22&gt;=$B$3,B22,0)</f>
        <v/>
      </c>
      <c r="D22" s="22">
        <f>IF(B22&lt;$B$3,B22,0)</f>
        <v/>
      </c>
      <c r="E22" s="23">
        <f>$B$3</f>
        <v/>
      </c>
      <c r="F22" s="23">
        <f>$B$4</f>
        <v/>
      </c>
    </row>
    <row r="23">
      <c r="A23" s="11" t="inlineStr">
        <is>
          <t>TATASTEEL</t>
        </is>
      </c>
      <c r="B23" s="22">
        <f>INDEX(Market_Screener!$D$9:$D$58,MATCH(A23,Market_Screener!$A$9:$A$58,0))</f>
        <v/>
      </c>
      <c r="C23" s="22">
        <f>IF(B23&gt;=$B$3,B23,0)</f>
        <v/>
      </c>
      <c r="D23" s="22">
        <f>IF(B23&lt;$B$3,B23,0)</f>
        <v/>
      </c>
      <c r="E23" s="23">
        <f>$B$3</f>
        <v/>
      </c>
      <c r="F23" s="23">
        <f>$B$4</f>
        <v/>
      </c>
    </row>
    <row r="24">
      <c r="A24" s="11" t="inlineStr">
        <is>
          <t>POWERGRID</t>
        </is>
      </c>
      <c r="B24" s="22">
        <f>INDEX(Market_Screener!$D$9:$D$58,MATCH(A24,Market_Screener!$A$9:$A$58,0))</f>
        <v/>
      </c>
      <c r="C24" s="22">
        <f>IF(B24&gt;=$B$3,B24,0)</f>
        <v/>
      </c>
      <c r="D24" s="22">
        <f>IF(B24&lt;$B$3,B24,0)</f>
        <v/>
      </c>
      <c r="E24" s="23">
        <f>$B$3</f>
        <v/>
      </c>
      <c r="F24" s="23">
        <f>$B$4</f>
        <v/>
      </c>
    </row>
    <row r="25">
      <c r="A25" s="11" t="inlineStr">
        <is>
          <t>JIOFIN</t>
        </is>
      </c>
      <c r="B25" s="22">
        <f>INDEX(Market_Screener!$D$9:$D$58,MATCH(A25,Market_Screener!$A$9:$A$58,0))</f>
        <v/>
      </c>
      <c r="C25" s="22">
        <f>IF(B25&gt;=$B$3,B25,0)</f>
        <v/>
      </c>
      <c r="D25" s="22">
        <f>IF(B25&lt;$B$3,B25,0)</f>
        <v/>
      </c>
      <c r="E25" s="23">
        <f>$B$3</f>
        <v/>
      </c>
      <c r="F25" s="23">
        <f>$B$4</f>
        <v/>
      </c>
    </row>
    <row r="26">
      <c r="A26" s="11" t="inlineStr">
        <is>
          <t>ASIANPAINT</t>
        </is>
      </c>
      <c r="B26" s="22">
        <f>INDEX(Market_Screener!$D$9:$D$58,MATCH(A26,Market_Screener!$A$9:$A$58,0))</f>
        <v/>
      </c>
      <c r="C26" s="22">
        <f>IF(B26&gt;=$B$3,B26,0)</f>
        <v/>
      </c>
      <c r="D26" s="22">
        <f>IF(B26&lt;$B$3,B26,0)</f>
        <v/>
      </c>
      <c r="E26" s="23">
        <f>$B$3</f>
        <v/>
      </c>
      <c r="F26" s="23">
        <f>$B$4</f>
        <v/>
      </c>
    </row>
    <row r="27">
      <c r="A27" s="11" t="inlineStr">
        <is>
          <t>SHRIRAMFIN</t>
        </is>
      </c>
      <c r="B27" s="22">
        <f>INDEX(Market_Screener!$D$9:$D$58,MATCH(A27,Market_Screener!$A$9:$A$58,0))</f>
        <v/>
      </c>
      <c r="C27" s="22">
        <f>IF(B27&gt;=$B$3,B27,0)</f>
        <v/>
      </c>
      <c r="D27" s="22">
        <f>IF(B27&lt;$B$3,B27,0)</f>
        <v/>
      </c>
      <c r="E27" s="23">
        <f>$B$3</f>
        <v/>
      </c>
      <c r="F27" s="23">
        <f>$B$4</f>
        <v/>
      </c>
    </row>
    <row r="28">
      <c r="A28" s="11" t="inlineStr">
        <is>
          <t>TMPV</t>
        </is>
      </c>
      <c r="B28" s="22">
        <f>INDEX(Market_Screener!$D$9:$D$58,MATCH(A28,Market_Screener!$A$9:$A$58,0))</f>
        <v/>
      </c>
      <c r="C28" s="22">
        <f>IF(B28&gt;=$B$3,B28,0)</f>
        <v/>
      </c>
      <c r="D28" s="22">
        <f>IF(B28&lt;$B$3,B28,0)</f>
        <v/>
      </c>
      <c r="E28" s="23">
        <f>$B$3</f>
        <v/>
      </c>
      <c r="F28" s="23">
        <f>$B$4</f>
        <v/>
      </c>
    </row>
    <row r="29">
      <c r="A29" s="11" t="inlineStr">
        <is>
          <t>APOLLOHOSP</t>
        </is>
      </c>
      <c r="B29" s="22">
        <f>INDEX(Market_Screener!$D$9:$D$58,MATCH(A29,Market_Screener!$A$9:$A$58,0))</f>
        <v/>
      </c>
      <c r="C29" s="22">
        <f>IF(B29&gt;=$B$3,B29,0)</f>
        <v/>
      </c>
      <c r="D29" s="22">
        <f>IF(B29&lt;$B$3,B29,0)</f>
        <v/>
      </c>
      <c r="E29" s="23">
        <f>$B$3</f>
        <v/>
      </c>
      <c r="F29" s="23">
        <f>$B$4</f>
        <v/>
      </c>
    </row>
    <row r="30">
      <c r="A30" s="11" t="inlineStr">
        <is>
          <t>TATACONSUM</t>
        </is>
      </c>
      <c r="B30" s="22">
        <f>INDEX(Market_Screener!$D$9:$D$58,MATCH(A30,Market_Screener!$A$9:$A$58,0))</f>
        <v/>
      </c>
      <c r="C30" s="22">
        <f>IF(B30&gt;=$B$3,B30,0)</f>
        <v/>
      </c>
      <c r="D30" s="22">
        <f>IF(B30&lt;$B$3,B30,0)</f>
        <v/>
      </c>
      <c r="E30" s="23">
        <f>$B$3</f>
        <v/>
      </c>
      <c r="F30" s="23">
        <f>$B$4</f>
        <v/>
      </c>
    </row>
    <row r="31">
      <c r="A31" s="11" t="inlineStr">
        <is>
          <t>BAJFINANCE</t>
        </is>
      </c>
      <c r="B31" s="22">
        <f>INDEX(Market_Screener!$D$9:$D$58,MATCH(A31,Market_Screener!$A$9:$A$58,0))</f>
        <v/>
      </c>
      <c r="C31" s="22">
        <f>IF(B31&gt;=$B$3,B31,0)</f>
        <v/>
      </c>
      <c r="D31" s="22">
        <f>IF(B31&lt;$B$3,B31,0)</f>
        <v/>
      </c>
      <c r="E31" s="23">
        <f>$B$3</f>
        <v/>
      </c>
      <c r="F31" s="23">
        <f>$B$4</f>
        <v/>
      </c>
    </row>
    <row r="32">
      <c r="A32" s="11" t="inlineStr">
        <is>
          <t>EICHERMOT</t>
        </is>
      </c>
      <c r="B32" s="22">
        <f>INDEX(Market_Screener!$D$9:$D$58,MATCH(A32,Market_Screener!$A$9:$A$58,0))</f>
        <v/>
      </c>
      <c r="C32" s="22">
        <f>IF(B32&gt;=$B$3,B32,0)</f>
        <v/>
      </c>
      <c r="D32" s="22">
        <f>IF(B32&lt;$B$3,B32,0)</f>
        <v/>
      </c>
      <c r="E32" s="23">
        <f>$B$3</f>
        <v/>
      </c>
      <c r="F32" s="23">
        <f>$B$4</f>
        <v/>
      </c>
    </row>
    <row r="33">
      <c r="A33" s="11" t="inlineStr">
        <is>
          <t>HINDUNILVR</t>
        </is>
      </c>
      <c r="B33" s="22">
        <f>INDEX(Market_Screener!$D$9:$D$58,MATCH(A33,Market_Screener!$A$9:$A$58,0))</f>
        <v/>
      </c>
      <c r="C33" s="22">
        <f>IF(B33&gt;=$B$3,B33,0)</f>
        <v/>
      </c>
      <c r="D33" s="22">
        <f>IF(B33&lt;$B$3,B33,0)</f>
        <v/>
      </c>
      <c r="E33" s="23">
        <f>$B$3</f>
        <v/>
      </c>
      <c r="F33" s="23">
        <f>$B$4</f>
        <v/>
      </c>
    </row>
    <row r="34">
      <c r="A34" s="11" t="inlineStr">
        <is>
          <t>LT</t>
        </is>
      </c>
      <c r="B34" s="22">
        <f>INDEX(Market_Screener!$D$9:$D$58,MATCH(A34,Market_Screener!$A$9:$A$58,0))</f>
        <v/>
      </c>
      <c r="C34" s="22">
        <f>IF(B34&gt;=$B$3,B34,0)</f>
        <v/>
      </c>
      <c r="D34" s="22">
        <f>IF(B34&lt;$B$3,B34,0)</f>
        <v/>
      </c>
      <c r="E34" s="23">
        <f>$B$3</f>
        <v/>
      </c>
      <c r="F34" s="23">
        <f>$B$4</f>
        <v/>
      </c>
    </row>
    <row r="35">
      <c r="A35" s="11" t="inlineStr">
        <is>
          <t>SBIN</t>
        </is>
      </c>
      <c r="B35" s="22">
        <f>INDEX(Market_Screener!$D$9:$D$58,MATCH(A35,Market_Screener!$A$9:$A$58,0))</f>
        <v/>
      </c>
      <c r="C35" s="22">
        <f>IF(B35&gt;=$B$3,B35,0)</f>
        <v/>
      </c>
      <c r="D35" s="22">
        <f>IF(B35&lt;$B$3,B35,0)</f>
        <v/>
      </c>
      <c r="E35" s="23">
        <f>$B$3</f>
        <v/>
      </c>
      <c r="F35" s="23">
        <f>$B$4</f>
        <v/>
      </c>
    </row>
    <row r="36">
      <c r="A36" s="11" t="inlineStr">
        <is>
          <t>SBILIFE</t>
        </is>
      </c>
      <c r="B36" s="22">
        <f>INDEX(Market_Screener!$D$9:$D$58,MATCH(A36,Market_Screener!$A$9:$A$58,0))</f>
        <v/>
      </c>
      <c r="C36" s="22">
        <f>IF(B36&gt;=$B$3,B36,0)</f>
        <v/>
      </c>
      <c r="D36" s="22">
        <f>IF(B36&lt;$B$3,B36,0)</f>
        <v/>
      </c>
      <c r="E36" s="23">
        <f>$B$3</f>
        <v/>
      </c>
      <c r="F36" s="23">
        <f>$B$4</f>
        <v/>
      </c>
    </row>
    <row r="37">
      <c r="A37" s="11" t="inlineStr">
        <is>
          <t>ULTRACEMCO</t>
        </is>
      </c>
      <c r="B37" s="22">
        <f>INDEX(Market_Screener!$D$9:$D$58,MATCH(A37,Market_Screener!$A$9:$A$58,0))</f>
        <v/>
      </c>
      <c r="C37" s="22">
        <f>IF(B37&gt;=$B$3,B37,0)</f>
        <v/>
      </c>
      <c r="D37" s="22">
        <f>IF(B37&lt;$B$3,B37,0)</f>
        <v/>
      </c>
      <c r="E37" s="23">
        <f>$B$3</f>
        <v/>
      </c>
      <c r="F37" s="23">
        <f>$B$4</f>
        <v/>
      </c>
    </row>
    <row r="38">
      <c r="A38" s="11" t="inlineStr">
        <is>
          <t>NESTLEIND</t>
        </is>
      </c>
      <c r="B38" s="22">
        <f>INDEX(Market_Screener!$D$9:$D$58,MATCH(A38,Market_Screener!$A$9:$A$58,0))</f>
        <v/>
      </c>
      <c r="C38" s="22">
        <f>IF(B38&gt;=$B$3,B38,0)</f>
        <v/>
      </c>
      <c r="D38" s="22">
        <f>IF(B38&lt;$B$3,B38,0)</f>
        <v/>
      </c>
      <c r="E38" s="23">
        <f>$B$3</f>
        <v/>
      </c>
      <c r="F38" s="23">
        <f>$B$4</f>
        <v/>
      </c>
    </row>
    <row r="39">
      <c r="A39" s="11" t="inlineStr">
        <is>
          <t>INDIGO</t>
        </is>
      </c>
      <c r="B39" s="22">
        <f>INDEX(Market_Screener!$D$9:$D$58,MATCH(A39,Market_Screener!$A$9:$A$58,0))</f>
        <v/>
      </c>
      <c r="C39" s="22">
        <f>IF(B39&gt;=$B$3,B39,0)</f>
        <v/>
      </c>
      <c r="D39" s="22">
        <f>IF(B39&lt;$B$3,B39,0)</f>
        <v/>
      </c>
      <c r="E39" s="23">
        <f>$B$3</f>
        <v/>
      </c>
      <c r="F39" s="23">
        <f>$B$4</f>
        <v/>
      </c>
    </row>
    <row r="40">
      <c r="A40" s="11" t="inlineStr">
        <is>
          <t>TECHM</t>
        </is>
      </c>
      <c r="B40" s="22">
        <f>INDEX(Market_Screener!$D$9:$D$58,MATCH(A40,Market_Screener!$A$9:$A$58,0))</f>
        <v/>
      </c>
      <c r="C40" s="22">
        <f>IF(B40&gt;=$B$3,B40,0)</f>
        <v/>
      </c>
      <c r="D40" s="22">
        <f>IF(B40&lt;$B$3,B40,0)</f>
        <v/>
      </c>
      <c r="E40" s="23">
        <f>$B$3</f>
        <v/>
      </c>
      <c r="F40" s="23">
        <f>$B$4</f>
        <v/>
      </c>
    </row>
    <row r="41">
      <c r="A41" s="11" t="inlineStr">
        <is>
          <t>HCLTECH</t>
        </is>
      </c>
      <c r="B41" s="22">
        <f>INDEX(Market_Screener!$D$9:$D$58,MATCH(A41,Market_Screener!$A$9:$A$58,0))</f>
        <v/>
      </c>
      <c r="C41" s="22">
        <f>IF(B41&gt;=$B$3,B41,0)</f>
        <v/>
      </c>
      <c r="D41" s="22">
        <f>IF(B41&lt;$B$3,B41,0)</f>
        <v/>
      </c>
      <c r="E41" s="23">
        <f>$B$3</f>
        <v/>
      </c>
      <c r="F41" s="23">
        <f>$B$4</f>
        <v/>
      </c>
    </row>
    <row r="42">
      <c r="A42" s="11" t="inlineStr">
        <is>
          <t>INFY</t>
        </is>
      </c>
      <c r="B42" s="22">
        <f>INDEX(Market_Screener!$D$9:$D$58,MATCH(A42,Market_Screener!$A$9:$A$58,0))</f>
        <v/>
      </c>
      <c r="C42" s="22">
        <f>IF(B42&gt;=$B$3,B42,0)</f>
        <v/>
      </c>
      <c r="D42" s="22">
        <f>IF(B42&lt;$B$3,B42,0)</f>
        <v/>
      </c>
      <c r="E42" s="23">
        <f>$B$3</f>
        <v/>
      </c>
      <c r="F42" s="23">
        <f>$B$4</f>
        <v/>
      </c>
    </row>
    <row r="43">
      <c r="A43" s="11" t="inlineStr">
        <is>
          <t>COALINDIA</t>
        </is>
      </c>
      <c r="B43" s="22">
        <f>INDEX(Market_Screener!$D$9:$D$58,MATCH(A43,Market_Screener!$A$9:$A$58,0))</f>
        <v/>
      </c>
      <c r="C43" s="22">
        <f>IF(B43&gt;=$B$3,B43,0)</f>
        <v/>
      </c>
      <c r="D43" s="22">
        <f>IF(B43&lt;$B$3,B43,0)</f>
        <v/>
      </c>
      <c r="E43" s="23">
        <f>$B$3</f>
        <v/>
      </c>
      <c r="F43" s="23">
        <f>$B$4</f>
        <v/>
      </c>
    </row>
    <row r="44">
      <c r="A44" s="11" t="inlineStr">
        <is>
          <t>HDFCBANK</t>
        </is>
      </c>
      <c r="B44" s="22">
        <f>INDEX(Market_Screener!$D$9:$D$58,MATCH(A44,Market_Screener!$A$9:$A$58,0))</f>
        <v/>
      </c>
      <c r="C44" s="22">
        <f>IF(B44&gt;=$B$3,B44,0)</f>
        <v/>
      </c>
      <c r="D44" s="22">
        <f>IF(B44&lt;$B$3,B44,0)</f>
        <v/>
      </c>
      <c r="E44" s="23">
        <f>$B$3</f>
        <v/>
      </c>
      <c r="F44" s="23">
        <f>$B$4</f>
        <v/>
      </c>
    </row>
    <row r="45">
      <c r="A45" s="11" t="inlineStr">
        <is>
          <t>BHARTIARTL</t>
        </is>
      </c>
      <c r="B45" s="22">
        <f>INDEX(Market_Screener!$D$9:$D$58,MATCH(A45,Market_Screener!$A$9:$A$58,0))</f>
        <v/>
      </c>
      <c r="C45" s="22">
        <f>IF(B45&gt;=$B$3,B45,0)</f>
        <v/>
      </c>
      <c r="D45" s="22">
        <f>IF(B45&lt;$B$3,B45,0)</f>
        <v/>
      </c>
      <c r="E45" s="23">
        <f>$B$3</f>
        <v/>
      </c>
      <c r="F45" s="23">
        <f>$B$4</f>
        <v/>
      </c>
    </row>
    <row r="46">
      <c r="A46" s="11" t="inlineStr">
        <is>
          <t>ETERNAL</t>
        </is>
      </c>
      <c r="B46" s="22">
        <f>INDEX(Market_Screener!$D$9:$D$58,MATCH(A46,Market_Screener!$A$9:$A$58,0))</f>
        <v/>
      </c>
      <c r="C46" s="22">
        <f>IF(B46&gt;=$B$3,B46,0)</f>
        <v/>
      </c>
      <c r="D46" s="22">
        <f>IF(B46&lt;$B$3,B46,0)</f>
        <v/>
      </c>
      <c r="E46" s="23">
        <f>$B$3</f>
        <v/>
      </c>
      <c r="F46" s="23">
        <f>$B$4</f>
        <v/>
      </c>
    </row>
    <row r="47">
      <c r="A47" s="11" t="inlineStr">
        <is>
          <t>ICICIBANK</t>
        </is>
      </c>
      <c r="B47" s="22">
        <f>INDEX(Market_Screener!$D$9:$D$58,MATCH(A47,Market_Screener!$A$9:$A$58,0))</f>
        <v/>
      </c>
      <c r="C47" s="22">
        <f>IF(B47&gt;=$B$3,B47,0)</f>
        <v/>
      </c>
      <c r="D47" s="22">
        <f>IF(B47&lt;$B$3,B47,0)</f>
        <v/>
      </c>
      <c r="E47" s="23">
        <f>$B$3</f>
        <v/>
      </c>
      <c r="F47" s="23">
        <f>$B$4</f>
        <v/>
      </c>
    </row>
    <row r="48">
      <c r="A48" s="11" t="inlineStr">
        <is>
          <t>ITC</t>
        </is>
      </c>
      <c r="B48" s="22">
        <f>INDEX(Market_Screener!$D$9:$D$58,MATCH(A48,Market_Screener!$A$9:$A$58,0))</f>
        <v/>
      </c>
      <c r="C48" s="22">
        <f>IF(B48&gt;=$B$3,B48,0)</f>
        <v/>
      </c>
      <c r="D48" s="22">
        <f>IF(B48&lt;$B$3,B48,0)</f>
        <v/>
      </c>
      <c r="E48" s="23">
        <f>$B$3</f>
        <v/>
      </c>
      <c r="F48" s="23">
        <f>$B$4</f>
        <v/>
      </c>
    </row>
    <row r="49">
      <c r="A49" s="11" t="inlineStr">
        <is>
          <t>TCS</t>
        </is>
      </c>
      <c r="B49" s="22">
        <f>INDEX(Market_Screener!$D$9:$D$58,MATCH(A49,Market_Screener!$A$9:$A$58,0))</f>
        <v/>
      </c>
      <c r="C49" s="22">
        <f>IF(B49&gt;=$B$3,B49,0)</f>
        <v/>
      </c>
      <c r="D49" s="22">
        <f>IF(B49&lt;$B$3,B49,0)</f>
        <v/>
      </c>
      <c r="E49" s="23">
        <f>$B$3</f>
        <v/>
      </c>
      <c r="F49" s="23">
        <f>$B$4</f>
        <v/>
      </c>
    </row>
    <row r="50">
      <c r="A50" s="11" t="inlineStr">
        <is>
          <t>DRREDDY</t>
        </is>
      </c>
      <c r="B50" s="22">
        <f>INDEX(Market_Screener!$D$9:$D$58,MATCH(A50,Market_Screener!$A$9:$A$58,0))</f>
        <v/>
      </c>
      <c r="C50" s="22">
        <f>IF(B50&gt;=$B$3,B50,0)</f>
        <v/>
      </c>
      <c r="D50" s="22">
        <f>IF(B50&lt;$B$3,B50,0)</f>
        <v/>
      </c>
      <c r="E50" s="23">
        <f>$B$3</f>
        <v/>
      </c>
      <c r="F50" s="23">
        <f>$B$4</f>
        <v/>
      </c>
    </row>
    <row r="51">
      <c r="A51" s="11" t="inlineStr">
        <is>
          <t>BSE</t>
        </is>
      </c>
      <c r="B51" s="22">
        <f>INDEX(Market_Screener!$D$9:$D$58,MATCH(A51,Market_Screener!$A$9:$A$58,0))</f>
        <v/>
      </c>
      <c r="C51" s="22">
        <f>IF(B51&gt;=$B$3,B51,0)</f>
        <v/>
      </c>
      <c r="D51" s="22">
        <f>IF(B51&lt;$B$3,B51,0)</f>
        <v/>
      </c>
      <c r="E51" s="23">
        <f>$B$3</f>
        <v/>
      </c>
      <c r="F51" s="23">
        <f>$B$4</f>
        <v/>
      </c>
    </row>
    <row r="52">
      <c r="A52" s="11" t="inlineStr">
        <is>
          <t>ADANIPORTS</t>
        </is>
      </c>
      <c r="B52" s="22">
        <f>INDEX(Market_Screener!$D$9:$D$58,MATCH(A52,Market_Screener!$A$9:$A$58,0))</f>
        <v/>
      </c>
      <c r="C52" s="22">
        <f>IF(B52&gt;=$B$3,B52,0)</f>
        <v/>
      </c>
      <c r="D52" s="22">
        <f>IF(B52&lt;$B$3,B52,0)</f>
        <v/>
      </c>
      <c r="E52" s="23">
        <f>$B$3</f>
        <v/>
      </c>
      <c r="F52" s="23">
        <f>$B$4</f>
        <v/>
      </c>
    </row>
    <row r="53">
      <c r="A53" s="11" t="inlineStr">
        <is>
          <t>AXISBANK</t>
        </is>
      </c>
      <c r="B53" s="22">
        <f>INDEX(Market_Screener!$D$9:$D$58,MATCH(A53,Market_Screener!$A$9:$A$58,0))</f>
        <v/>
      </c>
      <c r="C53" s="22">
        <f>IF(B53&gt;=$B$3,B53,0)</f>
        <v/>
      </c>
      <c r="D53" s="22">
        <f>IF(B53&lt;$B$3,B53,0)</f>
        <v/>
      </c>
      <c r="E53" s="23">
        <f>$B$3</f>
        <v/>
      </c>
      <c r="F53" s="23">
        <f>$B$4</f>
        <v/>
      </c>
    </row>
    <row r="54">
      <c r="A54" s="11" t="inlineStr">
        <is>
          <t>HDFCLIFE</t>
        </is>
      </c>
      <c r="B54" s="22">
        <f>INDEX(Market_Screener!$D$9:$D$58,MATCH(A54,Market_Screener!$A$9:$A$58,0))</f>
        <v/>
      </c>
      <c r="C54" s="22">
        <f>IF(B54&gt;=$B$3,B54,0)</f>
        <v/>
      </c>
      <c r="D54" s="22">
        <f>IF(B54&lt;$B$3,B54,0)</f>
        <v/>
      </c>
      <c r="E54" s="23">
        <f>$B$3</f>
        <v/>
      </c>
      <c r="F54" s="23">
        <f>$B$4</f>
        <v/>
      </c>
    </row>
    <row r="55">
      <c r="A55" s="11" t="inlineStr">
        <is>
          <t>TRENT</t>
        </is>
      </c>
      <c r="B55" s="22">
        <f>INDEX(Market_Screener!$D$9:$D$58,MATCH(A55,Market_Screener!$A$9:$A$58,0))</f>
        <v/>
      </c>
      <c r="C55" s="22">
        <f>IF(B55&gt;=$B$3,B55,0)</f>
        <v/>
      </c>
      <c r="D55" s="22">
        <f>IF(B55&lt;$B$3,B55,0)</f>
        <v/>
      </c>
      <c r="E55" s="23">
        <f>$B$3</f>
        <v/>
      </c>
      <c r="F55" s="23">
        <f>$B$4</f>
        <v/>
      </c>
    </row>
    <row r="56">
      <c r="A56" s="11" t="inlineStr">
        <is>
          <t>KOTAKBANK</t>
        </is>
      </c>
      <c r="B56" s="22">
        <f>INDEX(Market_Screener!$D$9:$D$58,MATCH(A56,Market_Screener!$A$9:$A$58,0))</f>
        <v/>
      </c>
      <c r="C56" s="22">
        <f>IF(B56&gt;=$B$3,B56,0)</f>
        <v/>
      </c>
      <c r="D56" s="22">
        <f>IF(B56&lt;$B$3,B56,0)</f>
        <v/>
      </c>
      <c r="E56" s="23">
        <f>$B$3</f>
        <v/>
      </c>
      <c r="F56" s="23">
        <f>$B$4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2026-10-11T20:09:12Z</dcterms:created>
  <dcterms:modified xmlns:dcterms="http://purl.org/dc/terms/" xmlns:xsi="http://www.w3.org/2001/XMLSchema-instance" xsi:type="dcterms:W3CDTF">2026-10-11T20:09:12Z</dcterms:modified>
</cp:coreProperties>
</file>