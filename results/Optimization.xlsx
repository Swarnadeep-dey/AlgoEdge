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Grid_Search" sheetId="1" state="visible" r:id="rId1"/>
    <sheet xmlns:r="http://schemas.openxmlformats.org/officeDocument/2006/relationships" name="Heatmap" sheetId="2" state="visible" r:id="rId2"/>
  </sheets>
  <definedNames>
    <definedName name="_xlnm._FilterDatabase" localSheetId="0" hidden="1">'Grid_Search'!$A$1:$H$17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&quot;%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1A19"/>
      <sz val="10"/>
    </font>
    <font>
      <name val="Arial"/>
      <b val="1"/>
      <color rgb="001F4E78"/>
      <sz val="22"/>
    </font>
    <font>
      <name val="Arial"/>
      <color rgb="006B6A66"/>
      <sz val="10"/>
    </font>
    <font>
      <name val="Arial"/>
      <b val="1"/>
      <color rgb="00006300"/>
      <sz val="11"/>
    </font>
    <font>
      <name val="Arial"/>
      <b val="1"/>
      <color rgb="001F4E78"/>
      <sz val="11"/>
    </font>
    <font>
      <name val="Arial"/>
      <b val="1"/>
      <color rgb="001A1A19"/>
      <sz val="10"/>
    </font>
    <font>
      <name val="Arial"/>
      <i val="1"/>
      <color rgb="006B6A66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6F4E6"/>
        <bgColor rgb="00E6F4E6"/>
      </patternFill>
    </fill>
    <fill>
      <patternFill patternType="solid">
        <fgColor rgb="00F3F5F8"/>
        <bgColor rgb="00F3F5F8"/>
      </patternFill>
    </fill>
  </fills>
  <borders count="3">
    <border>
      <left/>
      <right/>
      <top/>
      <bottom/>
      <diagonal/>
    </border>
    <border>
      <left style="thin">
        <color rgb="00D4D8DE"/>
      </left>
      <right style="thin">
        <color rgb="00D4D8DE"/>
      </right>
      <top style="thin">
        <color rgb="00D4D8DE"/>
      </top>
      <bottom style="thin">
        <color rgb="00D4D8DE"/>
      </bottom>
    </border>
    <border>
      <left style="thick">
        <color rgb="00EB6834"/>
      </left>
      <right style="thick">
        <color rgb="00EB6834"/>
      </right>
      <top style="thick">
        <color rgb="00EB6834"/>
      </top>
      <bottom style="thick">
        <color rgb="00EB683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2" fontId="7" fillId="0" borderId="2" applyAlignment="1" pivotButton="0" quotePrefix="0" xfId="0">
      <alignment horizontal="center" vertical="center"/>
    </xf>
    <xf numFmtId="165" fontId="7" fillId="0" borderId="2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" fontId="7" fillId="0" borderId="2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A78D6"/>
    <outlinePr summaryBelow="1" summaryRight="1"/>
    <pageSetUpPr fitToPage="1"/>
  </sheetPr>
  <dimension ref="A1:H1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6" customWidth="1" min="4" max="4"/>
    <col width="15" customWidth="1" min="5" max="5"/>
    <col width="16" customWidth="1" min="6" max="6"/>
    <col width="17" customWidth="1" min="7" max="7"/>
    <col width="28" customWidth="1" min="8" max="8"/>
  </cols>
  <sheetData>
    <row r="1" ht="30" customHeight="1">
      <c r="A1" s="1" t="inlineStr">
        <is>
          <t>Stop Loss</t>
        </is>
      </c>
      <c r="B1" s="1" t="inlineStr">
        <is>
          <t>Take Profit</t>
        </is>
      </c>
      <c r="C1" s="1" t="inlineStr">
        <is>
          <t>Trades</t>
        </is>
      </c>
      <c r="D1" s="1" t="inlineStr">
        <is>
          <t>Win Rate (%)</t>
        </is>
      </c>
      <c r="E1" s="1" t="inlineStr">
        <is>
          <t>Avg Win (%)</t>
        </is>
      </c>
      <c r="F1" s="1" t="inlineStr">
        <is>
          <t>Avg Loss (%)</t>
        </is>
      </c>
      <c r="G1" s="1" t="inlineStr">
        <is>
          <t>Profit Factor</t>
        </is>
      </c>
      <c r="H1" s="1" t="inlineStr">
        <is>
          <t>Sum of Trade Returns (%)</t>
        </is>
      </c>
    </row>
    <row r="2">
      <c r="A2" s="2" t="inlineStr">
        <is>
          <t>10%</t>
        </is>
      </c>
      <c r="B2" s="2" t="inlineStr">
        <is>
          <t>12%</t>
        </is>
      </c>
      <c r="C2" s="3" t="n">
        <v>32</v>
      </c>
      <c r="D2" s="4" t="n">
        <v>71.88</v>
      </c>
      <c r="E2" s="4" t="n">
        <v>8.210000000000001</v>
      </c>
      <c r="F2" s="4" t="n">
        <v>-8.74</v>
      </c>
      <c r="G2" s="5" t="n">
        <v>2.4</v>
      </c>
      <c r="H2" s="4" t="n">
        <v>110.33</v>
      </c>
    </row>
    <row r="3">
      <c r="A3" s="2" t="inlineStr">
        <is>
          <t>10%</t>
        </is>
      </c>
      <c r="B3" s="2" t="inlineStr">
        <is>
          <t>8%</t>
        </is>
      </c>
      <c r="C3" s="3" t="n">
        <v>33</v>
      </c>
      <c r="D3" s="4" t="n">
        <v>72.73</v>
      </c>
      <c r="E3" s="4" t="n">
        <v>7.09</v>
      </c>
      <c r="F3" s="4" t="n">
        <v>-8.74</v>
      </c>
      <c r="G3" s="5" t="n">
        <v>2.17</v>
      </c>
      <c r="H3" s="4" t="n">
        <v>91.59999999999999</v>
      </c>
    </row>
    <row r="4">
      <c r="A4" s="2" t="inlineStr">
        <is>
          <t>7%</t>
        </is>
      </c>
      <c r="B4" s="2" t="inlineStr">
        <is>
          <t>12%</t>
        </is>
      </c>
      <c r="C4" s="3" t="n">
        <v>38</v>
      </c>
      <c r="D4" s="4" t="n">
        <v>63.16</v>
      </c>
      <c r="E4" s="4" t="n">
        <v>8.279999999999999</v>
      </c>
      <c r="F4" s="4" t="n">
        <v>-7.98</v>
      </c>
      <c r="G4" s="5" t="n">
        <v>1.78</v>
      </c>
      <c r="H4" s="4" t="n">
        <v>86.84</v>
      </c>
    </row>
    <row r="5">
      <c r="A5" s="2" t="inlineStr">
        <is>
          <t>10%</t>
        </is>
      </c>
      <c r="B5" s="2" t="inlineStr">
        <is>
          <t>5%</t>
        </is>
      </c>
      <c r="C5" s="3" t="n">
        <v>34</v>
      </c>
      <c r="D5" s="4" t="n">
        <v>73.53</v>
      </c>
      <c r="E5" s="4" t="n">
        <v>5.41</v>
      </c>
      <c r="F5" s="4" t="n">
        <v>-8.74</v>
      </c>
      <c r="G5" s="5" t="n">
        <v>1.72</v>
      </c>
      <c r="H5" s="4" t="n">
        <v>56.56</v>
      </c>
    </row>
    <row r="6">
      <c r="A6" s="2" t="inlineStr">
        <is>
          <t>7%</t>
        </is>
      </c>
      <c r="B6" s="2" t="inlineStr">
        <is>
          <t>8%</t>
        </is>
      </c>
      <c r="C6" s="3" t="n">
        <v>39</v>
      </c>
      <c r="D6" s="4" t="n">
        <v>64.09999999999999</v>
      </c>
      <c r="E6" s="4" t="n">
        <v>7.2</v>
      </c>
      <c r="F6" s="4" t="n">
        <v>-7.98</v>
      </c>
      <c r="G6" s="5" t="n">
        <v>1.61</v>
      </c>
      <c r="H6" s="4" t="n">
        <v>68.12</v>
      </c>
    </row>
    <row r="7">
      <c r="A7" s="2" t="inlineStr">
        <is>
          <t>10%</t>
        </is>
      </c>
      <c r="B7" s="2" t="inlineStr">
        <is>
          <t>15%</t>
        </is>
      </c>
      <c r="C7" s="3" t="n">
        <v>30</v>
      </c>
      <c r="D7" s="4" t="n">
        <v>66.67</v>
      </c>
      <c r="E7" s="4" t="n">
        <v>7.75</v>
      </c>
      <c r="F7" s="4" t="n">
        <v>-9.77</v>
      </c>
      <c r="G7" s="5" t="n">
        <v>1.59</v>
      </c>
      <c r="H7" s="4" t="n">
        <v>57.27</v>
      </c>
    </row>
    <row r="8">
      <c r="A8" s="2" t="inlineStr">
        <is>
          <t>5%</t>
        </is>
      </c>
      <c r="B8" s="2" t="inlineStr">
        <is>
          <t>12%</t>
        </is>
      </c>
      <c r="C8" s="3" t="n">
        <v>46</v>
      </c>
      <c r="D8" s="4" t="n">
        <v>52.17</v>
      </c>
      <c r="E8" s="4" t="n">
        <v>8.609999999999999</v>
      </c>
      <c r="F8" s="4" t="n">
        <v>-6.17</v>
      </c>
      <c r="G8" s="5" t="n">
        <v>1.52</v>
      </c>
      <c r="H8" s="4" t="n">
        <v>71.01000000000001</v>
      </c>
    </row>
    <row r="9">
      <c r="A9" s="2" t="inlineStr">
        <is>
          <t>5%</t>
        </is>
      </c>
      <c r="B9" s="2" t="inlineStr">
        <is>
          <t>8%</t>
        </is>
      </c>
      <c r="C9" s="3" t="n">
        <v>47</v>
      </c>
      <c r="D9" s="4" t="n">
        <v>53.19</v>
      </c>
      <c r="E9" s="4" t="n">
        <v>7.52</v>
      </c>
      <c r="F9" s="4" t="n">
        <v>-6.17</v>
      </c>
      <c r="G9" s="5" t="n">
        <v>1.39</v>
      </c>
      <c r="H9" s="4" t="n">
        <v>52.29</v>
      </c>
    </row>
    <row r="10">
      <c r="A10" s="2" t="inlineStr">
        <is>
          <t>7%</t>
        </is>
      </c>
      <c r="B10" s="2" t="inlineStr">
        <is>
          <t>5%</t>
        </is>
      </c>
      <c r="C10" s="3" t="n">
        <v>41</v>
      </c>
      <c r="D10" s="4" t="n">
        <v>65.84999999999999</v>
      </c>
      <c r="E10" s="4" t="n">
        <v>5.45</v>
      </c>
      <c r="F10" s="4" t="n">
        <v>-7.98</v>
      </c>
      <c r="G10" s="5" t="n">
        <v>1.32</v>
      </c>
      <c r="H10" s="4" t="n">
        <v>35.35</v>
      </c>
    </row>
    <row r="11">
      <c r="A11" s="2" t="inlineStr">
        <is>
          <t>7%</t>
        </is>
      </c>
      <c r="B11" s="2" t="inlineStr">
        <is>
          <t>15%</t>
        </is>
      </c>
      <c r="C11" s="3" t="n">
        <v>36</v>
      </c>
      <c r="D11" s="4" t="n">
        <v>58.33</v>
      </c>
      <c r="E11" s="4" t="n">
        <v>7.84</v>
      </c>
      <c r="F11" s="4" t="n">
        <v>-8.720000000000001</v>
      </c>
      <c r="G11" s="5" t="n">
        <v>1.26</v>
      </c>
      <c r="H11" s="4" t="n">
        <v>33.79</v>
      </c>
    </row>
    <row r="12">
      <c r="A12" s="2" t="inlineStr">
        <is>
          <t>5%</t>
        </is>
      </c>
      <c r="B12" s="2" t="inlineStr">
        <is>
          <t>5%</t>
        </is>
      </c>
      <c r="C12" s="3" t="n">
        <v>49</v>
      </c>
      <c r="D12" s="4" t="n">
        <v>57.14</v>
      </c>
      <c r="E12" s="4" t="n">
        <v>5.79</v>
      </c>
      <c r="F12" s="4" t="n">
        <v>-6.19</v>
      </c>
      <c r="G12" s="5" t="n">
        <v>1.25</v>
      </c>
      <c r="H12" s="4" t="n">
        <v>32.19</v>
      </c>
    </row>
    <row r="13">
      <c r="A13" s="2" t="inlineStr">
        <is>
          <t>3%</t>
        </is>
      </c>
      <c r="B13" s="2" t="inlineStr">
        <is>
          <t>12%</t>
        </is>
      </c>
      <c r="C13" s="3" t="n">
        <v>53</v>
      </c>
      <c r="D13" s="4" t="n">
        <v>33.96</v>
      </c>
      <c r="E13" s="4" t="n">
        <v>10.05</v>
      </c>
      <c r="F13" s="4" t="n">
        <v>-4.31</v>
      </c>
      <c r="G13" s="5" t="n">
        <v>1.2</v>
      </c>
      <c r="H13" s="4" t="n">
        <v>30</v>
      </c>
    </row>
    <row r="14">
      <c r="A14" s="2" t="inlineStr">
        <is>
          <t>5%</t>
        </is>
      </c>
      <c r="B14" s="2" t="inlineStr">
        <is>
          <t>15%</t>
        </is>
      </c>
      <c r="C14" s="3" t="n">
        <v>44</v>
      </c>
      <c r="D14" s="4" t="n">
        <v>47.73</v>
      </c>
      <c r="E14" s="4" t="n">
        <v>8.220000000000001</v>
      </c>
      <c r="F14" s="4" t="n">
        <v>-6.73</v>
      </c>
      <c r="G14" s="5" t="n">
        <v>1.12</v>
      </c>
      <c r="H14" s="4" t="n">
        <v>17.96</v>
      </c>
    </row>
    <row r="15">
      <c r="A15" s="2" t="inlineStr">
        <is>
          <t>3%</t>
        </is>
      </c>
      <c r="B15" s="2" t="inlineStr">
        <is>
          <t>8%</t>
        </is>
      </c>
      <c r="C15" s="3" t="n">
        <v>54</v>
      </c>
      <c r="D15" s="4" t="n">
        <v>35.19</v>
      </c>
      <c r="E15" s="4" t="n">
        <v>8.300000000000001</v>
      </c>
      <c r="F15" s="4" t="n">
        <v>-4.31</v>
      </c>
      <c r="G15" s="5" t="n">
        <v>1.05</v>
      </c>
      <c r="H15" s="4" t="n">
        <v>6.95</v>
      </c>
    </row>
    <row r="16">
      <c r="A16" s="2" t="inlineStr">
        <is>
          <t>3%</t>
        </is>
      </c>
      <c r="B16" s="2" t="inlineStr">
        <is>
          <t>5%</t>
        </is>
      </c>
      <c r="C16" s="3" t="n">
        <v>55</v>
      </c>
      <c r="D16" s="4" t="n">
        <v>40</v>
      </c>
      <c r="E16" s="4" t="n">
        <v>6.14</v>
      </c>
      <c r="F16" s="4" t="n">
        <v>-4.35</v>
      </c>
      <c r="G16" s="5" t="n">
        <v>0.9399999999999999</v>
      </c>
      <c r="H16" s="4" t="n">
        <v>-8.42</v>
      </c>
    </row>
    <row r="17">
      <c r="A17" s="2" t="inlineStr">
        <is>
          <t>3%</t>
        </is>
      </c>
      <c r="B17" s="2" t="inlineStr">
        <is>
          <t>15%</t>
        </is>
      </c>
      <c r="C17" s="3" t="n">
        <v>51</v>
      </c>
      <c r="D17" s="4" t="n">
        <v>27.45</v>
      </c>
      <c r="E17" s="4" t="n">
        <v>9.34</v>
      </c>
      <c r="F17" s="4" t="n">
        <v>-4.69</v>
      </c>
      <c r="G17" s="5" t="n">
        <v>0.75</v>
      </c>
      <c r="H17" s="4" t="n">
        <v>-42.86</v>
      </c>
    </row>
  </sheetData>
  <autoFilter ref="A1:H17"/>
  <conditionalFormatting sqref="D2:D17">
    <cfRule type="colorScale" priority="1">
      <colorScale>
        <cfvo type="min"/>
        <cfvo type="percentile" val="50"/>
        <cfvo type="max"/>
        <color rgb="00F8D0D0"/>
        <color rgb="00FFF2CC"/>
        <color rgb="00CDE7CD"/>
      </colorScale>
    </cfRule>
  </conditionalFormatting>
  <conditionalFormatting sqref="G2:G17">
    <cfRule type="colorScale" priority="1">
      <colorScale>
        <cfvo type="min"/>
        <cfvo type="percentile" val="50"/>
        <cfvo type="max"/>
        <color rgb="00F8D0D0"/>
        <color rgb="00FFF2CC"/>
        <color rgb="00CDE7CD"/>
      </colorScale>
    </cfRule>
  </conditionalFormatting>
  <conditionalFormatting sqref="H2:H17">
    <cfRule type="colorScale" priority="1">
      <colorScale>
        <cfvo type="min"/>
        <cfvo type="percentile" val="50"/>
        <cfvo type="max"/>
        <color rgb="00F8D0D0"/>
        <color rgb="00FFF2CC"/>
        <color rgb="00CDE7CD"/>
      </colorScale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25"/>
  <sheetViews>
    <sheetView showGridLines="0" tabSelected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" customWidth="1" min="7" max="7"/>
    <col width="14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4" customHeight="1">
      <c r="A1" s="6" t="inlineStr">
        <is>
          <t>Stop-loss / take-profit grid search</t>
        </is>
      </c>
    </row>
    <row r="2" ht="18" customHeight="1">
      <c r="A2" s="7" t="inlineStr">
        <is>
          <t>Tuned on 01 Jan 2024 to 31 Dec 2024. The chosen pair is then tested on 01 Jan 2025 to 31 Dec 2025.</t>
        </is>
      </c>
    </row>
    <row r="3" ht="24" customHeight="1">
      <c r="A3" s="8">
        <f>"Highest profit factor: SL "&amp;INDEX(Grid_Search!$A$2:$A$17,MATCH(MAX(Grid_Search!$G$2:$G$17),Grid_Search!$G$2:$G$17,0))&amp;" / TP "&amp;INDEX(Grid_Search!$B$2:$B$17,MATCH(MAX(Grid_Search!$G$2:$G$17),Grid_Search!$G$2:$G$17,0))&amp;"  (profit factor "&amp;TEXT(MAX(Grid_Search!$G$2:$G$17),"0.00")&amp;" on "&amp;INDEX(Grid_Search!$C$2:$C$17,MATCH(MAX(Grid_Search!$G$2:$G$17),Grid_Search!$G$2:$G$17,0))&amp;" trades)"</f>
        <v/>
      </c>
    </row>
    <row r="5">
      <c r="A5" s="9" t="inlineStr">
        <is>
          <t>Profit factor</t>
        </is>
      </c>
      <c r="H5" s="9" t="inlineStr">
        <is>
          <t>Win rate (%)</t>
        </is>
      </c>
    </row>
    <row r="6" ht="20" customHeight="1">
      <c r="A6" s="1" t="inlineStr">
        <is>
          <t>SL \ TP</t>
        </is>
      </c>
      <c r="B6" s="1" t="inlineStr">
        <is>
          <t>5%</t>
        </is>
      </c>
      <c r="C6" s="1" t="inlineStr">
        <is>
          <t>8%</t>
        </is>
      </c>
      <c r="D6" s="1" t="inlineStr">
        <is>
          <t>12%</t>
        </is>
      </c>
      <c r="E6" s="1" t="inlineStr">
        <is>
          <t>15%</t>
        </is>
      </c>
      <c r="H6" s="1" t="inlineStr">
        <is>
          <t>SL \ TP</t>
        </is>
      </c>
      <c r="I6" s="1" t="inlineStr">
        <is>
          <t>5%</t>
        </is>
      </c>
      <c r="J6" s="1" t="inlineStr">
        <is>
          <t>8%</t>
        </is>
      </c>
      <c r="K6" s="1" t="inlineStr">
        <is>
          <t>12%</t>
        </is>
      </c>
      <c r="L6" s="1" t="inlineStr">
        <is>
          <t>15%</t>
        </is>
      </c>
    </row>
    <row r="7" ht="22" customHeight="1">
      <c r="A7" s="10" t="inlineStr">
        <is>
          <t>3%</t>
        </is>
      </c>
      <c r="B7" s="11">
        <f>Grid_Search!G16</f>
        <v/>
      </c>
      <c r="C7" s="11">
        <f>Grid_Search!G15</f>
        <v/>
      </c>
      <c r="D7" s="11">
        <f>Grid_Search!G13</f>
        <v/>
      </c>
      <c r="E7" s="11">
        <f>Grid_Search!G17</f>
        <v/>
      </c>
      <c r="H7" s="10" t="inlineStr">
        <is>
          <t>3%</t>
        </is>
      </c>
      <c r="I7" s="12">
        <f>Grid_Search!D16</f>
        <v/>
      </c>
      <c r="J7" s="12">
        <f>Grid_Search!D15</f>
        <v/>
      </c>
      <c r="K7" s="12">
        <f>Grid_Search!D13</f>
        <v/>
      </c>
      <c r="L7" s="12">
        <f>Grid_Search!D17</f>
        <v/>
      </c>
    </row>
    <row r="8" ht="22" customHeight="1">
      <c r="A8" s="10" t="inlineStr">
        <is>
          <t>5%</t>
        </is>
      </c>
      <c r="B8" s="11">
        <f>Grid_Search!G12</f>
        <v/>
      </c>
      <c r="C8" s="11">
        <f>Grid_Search!G9</f>
        <v/>
      </c>
      <c r="D8" s="11">
        <f>Grid_Search!G8</f>
        <v/>
      </c>
      <c r="E8" s="11">
        <f>Grid_Search!G14</f>
        <v/>
      </c>
      <c r="H8" s="10" t="inlineStr">
        <is>
          <t>5%</t>
        </is>
      </c>
      <c r="I8" s="12">
        <f>Grid_Search!D12</f>
        <v/>
      </c>
      <c r="J8" s="12">
        <f>Grid_Search!D9</f>
        <v/>
      </c>
      <c r="K8" s="12">
        <f>Grid_Search!D8</f>
        <v/>
      </c>
      <c r="L8" s="12">
        <f>Grid_Search!D14</f>
        <v/>
      </c>
    </row>
    <row r="9" ht="22" customHeight="1">
      <c r="A9" s="10" t="inlineStr">
        <is>
          <t>7%</t>
        </is>
      </c>
      <c r="B9" s="11">
        <f>Grid_Search!G10</f>
        <v/>
      </c>
      <c r="C9" s="11">
        <f>Grid_Search!G6</f>
        <v/>
      </c>
      <c r="D9" s="11">
        <f>Grid_Search!G4</f>
        <v/>
      </c>
      <c r="E9" s="11">
        <f>Grid_Search!G11</f>
        <v/>
      </c>
      <c r="H9" s="10" t="inlineStr">
        <is>
          <t>7%</t>
        </is>
      </c>
      <c r="I9" s="12">
        <f>Grid_Search!D10</f>
        <v/>
      </c>
      <c r="J9" s="12">
        <f>Grid_Search!D6</f>
        <v/>
      </c>
      <c r="K9" s="12">
        <f>Grid_Search!D4</f>
        <v/>
      </c>
      <c r="L9" s="12">
        <f>Grid_Search!D11</f>
        <v/>
      </c>
    </row>
    <row r="10" ht="22" customHeight="1">
      <c r="A10" s="10" t="inlineStr">
        <is>
          <t>10%</t>
        </is>
      </c>
      <c r="B10" s="13">
        <f>Grid_Search!G5</f>
        <v/>
      </c>
      <c r="C10" s="11">
        <f>Grid_Search!G3</f>
        <v/>
      </c>
      <c r="D10" s="11">
        <f>Grid_Search!G2</f>
        <v/>
      </c>
      <c r="E10" s="11">
        <f>Grid_Search!G7</f>
        <v/>
      </c>
      <c r="H10" s="10" t="inlineStr">
        <is>
          <t>10%</t>
        </is>
      </c>
      <c r="I10" s="14">
        <f>Grid_Search!D5</f>
        <v/>
      </c>
      <c r="J10" s="12">
        <f>Grid_Search!D3</f>
        <v/>
      </c>
      <c r="K10" s="12">
        <f>Grid_Search!D2</f>
        <v/>
      </c>
      <c r="L10" s="12">
        <f>Grid_Search!D7</f>
        <v/>
      </c>
    </row>
    <row r="14">
      <c r="A14" s="9" t="inlineStr">
        <is>
          <t>Sum of trade returns (%)</t>
        </is>
      </c>
      <c r="H14" s="9" t="inlineStr">
        <is>
          <t>Number of trades</t>
        </is>
      </c>
    </row>
    <row r="15" ht="20" customHeight="1">
      <c r="A15" s="1" t="inlineStr">
        <is>
          <t>SL \ TP</t>
        </is>
      </c>
      <c r="B15" s="1" t="inlineStr">
        <is>
          <t>5%</t>
        </is>
      </c>
      <c r="C15" s="1" t="inlineStr">
        <is>
          <t>8%</t>
        </is>
      </c>
      <c r="D15" s="1" t="inlineStr">
        <is>
          <t>12%</t>
        </is>
      </c>
      <c r="E15" s="1" t="inlineStr">
        <is>
          <t>15%</t>
        </is>
      </c>
      <c r="H15" s="1" t="inlineStr">
        <is>
          <t>SL \ TP</t>
        </is>
      </c>
      <c r="I15" s="1" t="inlineStr">
        <is>
          <t>5%</t>
        </is>
      </c>
      <c r="J15" s="1" t="inlineStr">
        <is>
          <t>8%</t>
        </is>
      </c>
      <c r="K15" s="1" t="inlineStr">
        <is>
          <t>12%</t>
        </is>
      </c>
      <c r="L15" s="1" t="inlineStr">
        <is>
          <t>15%</t>
        </is>
      </c>
    </row>
    <row r="16" ht="22" customHeight="1">
      <c r="A16" s="10" t="inlineStr">
        <is>
          <t>3%</t>
        </is>
      </c>
      <c r="B16" s="12">
        <f>Grid_Search!H16</f>
        <v/>
      </c>
      <c r="C16" s="12">
        <f>Grid_Search!H15</f>
        <v/>
      </c>
      <c r="D16" s="12">
        <f>Grid_Search!H13</f>
        <v/>
      </c>
      <c r="E16" s="12">
        <f>Grid_Search!H17</f>
        <v/>
      </c>
      <c r="H16" s="10" t="inlineStr">
        <is>
          <t>3%</t>
        </is>
      </c>
      <c r="I16" s="15">
        <f>Grid_Search!C16</f>
        <v/>
      </c>
      <c r="J16" s="15">
        <f>Grid_Search!C15</f>
        <v/>
      </c>
      <c r="K16" s="15">
        <f>Grid_Search!C13</f>
        <v/>
      </c>
      <c r="L16" s="15">
        <f>Grid_Search!C17</f>
        <v/>
      </c>
    </row>
    <row r="17" ht="22" customHeight="1">
      <c r="A17" s="10" t="inlineStr">
        <is>
          <t>5%</t>
        </is>
      </c>
      <c r="B17" s="12">
        <f>Grid_Search!H12</f>
        <v/>
      </c>
      <c r="C17" s="12">
        <f>Grid_Search!H9</f>
        <v/>
      </c>
      <c r="D17" s="12">
        <f>Grid_Search!H8</f>
        <v/>
      </c>
      <c r="E17" s="12">
        <f>Grid_Search!H14</f>
        <v/>
      </c>
      <c r="H17" s="10" t="inlineStr">
        <is>
          <t>5%</t>
        </is>
      </c>
      <c r="I17" s="15">
        <f>Grid_Search!C12</f>
        <v/>
      </c>
      <c r="J17" s="15">
        <f>Grid_Search!C9</f>
        <v/>
      </c>
      <c r="K17" s="15">
        <f>Grid_Search!C8</f>
        <v/>
      </c>
      <c r="L17" s="15">
        <f>Grid_Search!C14</f>
        <v/>
      </c>
    </row>
    <row r="18" ht="22" customHeight="1">
      <c r="A18" s="10" t="inlineStr">
        <is>
          <t>7%</t>
        </is>
      </c>
      <c r="B18" s="12">
        <f>Grid_Search!H10</f>
        <v/>
      </c>
      <c r="C18" s="12">
        <f>Grid_Search!H6</f>
        <v/>
      </c>
      <c r="D18" s="12">
        <f>Grid_Search!H4</f>
        <v/>
      </c>
      <c r="E18" s="12">
        <f>Grid_Search!H11</f>
        <v/>
      </c>
      <c r="H18" s="10" t="inlineStr">
        <is>
          <t>7%</t>
        </is>
      </c>
      <c r="I18" s="15">
        <f>Grid_Search!C10</f>
        <v/>
      </c>
      <c r="J18" s="15">
        <f>Grid_Search!C6</f>
        <v/>
      </c>
      <c r="K18" s="15">
        <f>Grid_Search!C4</f>
        <v/>
      </c>
      <c r="L18" s="15">
        <f>Grid_Search!C11</f>
        <v/>
      </c>
    </row>
    <row r="19" ht="22" customHeight="1">
      <c r="A19" s="10" t="inlineStr">
        <is>
          <t>10%</t>
        </is>
      </c>
      <c r="B19" s="14">
        <f>Grid_Search!H5</f>
        <v/>
      </c>
      <c r="C19" s="12">
        <f>Grid_Search!H3</f>
        <v/>
      </c>
      <c r="D19" s="12">
        <f>Grid_Search!H2</f>
        <v/>
      </c>
      <c r="E19" s="12">
        <f>Grid_Search!H7</f>
        <v/>
      </c>
      <c r="H19" s="10" t="inlineStr">
        <is>
          <t>10%</t>
        </is>
      </c>
      <c r="I19" s="16">
        <f>Grid_Search!C5</f>
        <v/>
      </c>
      <c r="J19" s="15">
        <f>Grid_Search!C3</f>
        <v/>
      </c>
      <c r="K19" s="15">
        <f>Grid_Search!C2</f>
        <v/>
      </c>
      <c r="L19" s="15">
        <f>Grid_Search!C7</f>
        <v/>
      </c>
    </row>
    <row r="23">
      <c r="A23" s="17" t="inlineStr">
        <is>
          <t>Orange outline = the pair currently set in strategy_config.py (SL 10% / TP 5%).</t>
        </is>
      </c>
    </row>
    <row r="24">
      <c r="A24" s="17" t="inlineStr">
        <is>
          <t>Every cell is a link to the Grid_Search sheet. Pairs with fewer than about 30 trades are statistically weak.</t>
        </is>
      </c>
    </row>
    <row r="25">
      <c r="A25" s="17" t="inlineStr">
        <is>
          <t>Sum of trade returns adds up per-trade percentages; it is not portfolio growth.</t>
        </is>
      </c>
    </row>
  </sheetData>
  <mergeCells count="1">
    <mergeCell ref="A3:L3"/>
  </mergeCells>
  <conditionalFormatting sqref="B7:E10">
    <cfRule type="colorScale" priority="1">
      <colorScale>
        <cfvo type="min"/>
        <cfvo type="num" val="1"/>
        <cfvo type="max"/>
        <color rgb="00F2B8B8"/>
        <color rgb="00EEEEEA"/>
        <color rgb="006DA7EC"/>
      </colorScale>
    </cfRule>
  </conditionalFormatting>
  <conditionalFormatting sqref="I7:L10">
    <cfRule type="colorScale" priority="2">
      <colorScale>
        <cfvo type="min"/>
        <cfvo type="max"/>
        <color rgb="00E3EEFB"/>
        <color rgb="006DA7EC"/>
      </colorScale>
    </cfRule>
  </conditionalFormatting>
  <conditionalFormatting sqref="B16:E19">
    <cfRule type="colorScale" priority="3">
      <colorScale>
        <cfvo type="min"/>
        <cfvo type="max"/>
        <color rgb="00E3EEFB"/>
        <color rgb="006DA7EC"/>
      </colorScale>
    </cfRule>
  </conditionalFormatting>
  <conditionalFormatting sqref="I16:L19">
    <cfRule type="colorScale" priority="4">
      <colorScale>
        <cfvo type="min"/>
        <cfvo type="max"/>
        <color rgb="00E3EEFB"/>
        <color rgb="006DA7EC"/>
      </colorScale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2026-10-11T18:27:03Z</dcterms:created>
  <dcterms:modified xmlns:dcterms="http://purl.org/dc/terms/" xmlns:xsi="http://www.w3.org/2001/XMLSchema-instance" xsi:type="dcterms:W3CDTF">2026-10-11T18:27:03Z</dcterms:modified>
</cp:coreProperties>
</file>